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y_chain_data.csv" sheetId="1" r:id="rId5"/>
    <sheet state="visible" name="Sheet2" sheetId="2" r:id="rId6"/>
    <sheet state="visible" name="Dashboard" sheetId="3" r:id="rId7"/>
    <sheet state="visible" name="KPI Pivot tables" sheetId="4" r:id="rId8"/>
  </sheets>
  <definedNames>
    <definedName hidden="1" localSheetId="0" name="Z_C03EEC1D_7369_4ACC_854B_C2721EAD17DE_.wvu.FilterData">supply_chain_data.csv!$A$1:$AB$1000</definedName>
    <definedName name="SlicerCache_Table_1_Col_1">#N/A</definedName>
    <definedName name="SlicerCache_Table_1_Col_12">#N/A</definedName>
    <definedName name="SlicerCache_Table_1_Col_14">#N/A</definedName>
    <definedName name="SlicerCache_Table_1_Col_15">#N/A</definedName>
  </definedNames>
  <calcPr/>
  <customWorkbookViews>
    <customWorkbookView activeSheetId="0" maximized="1" windowHeight="0" windowWidth="0" guid="{C03EEC1D-7369-4ACC-854B-C2721EAD17DE}" name="Filter 1"/>
  </customWorkbookViews>
  <pivotCaches>
    <pivotCache cacheId="0" r:id="rId9"/>
  </pivotCaches>
  <extLst>
    <ext uri="{46BE6895-7355-4a93-B00E-2C351335B9C9}">
      <x15:slicerCaches>
        <x14:slicerCache r:id="rId10"/>
        <x14:slicerCache r:id="rId11"/>
        <x14:slicerCache r:id="rId12"/>
        <x14:slicerCache r:id="rId13"/>
      </x15:slicerCaches>
    </ext>
  </extLst>
</workbook>
</file>

<file path=xl/sharedStrings.xml><?xml version="1.0" encoding="utf-8"?>
<sst xmlns="http://schemas.openxmlformats.org/spreadsheetml/2006/main" count="1089" uniqueCount="175">
  <si>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</si>
  <si>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</si>
  <si>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</si>
  <si>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</si>
  <si>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</si>
  <si>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</si>
  <si>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</si>
  <si>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</si>
  <si>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</si>
  <si>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</si>
  <si>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</si>
  <si>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</si>
  <si>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</si>
  <si>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</si>
  <si>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</si>
  <si>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</si>
  <si>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</si>
  <si>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</si>
  <si>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</si>
  <si>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</si>
  <si>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</si>
  <si>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</si>
  <si>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</si>
  <si>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</si>
  <si>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inventory value</t>
  </si>
  <si>
    <t>lead time category</t>
  </si>
  <si>
    <t>shipping delay flags</t>
  </si>
  <si>
    <t>defect category</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</si>
  <si>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</si>
  <si>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</si>
  <si>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</si>
  <si>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</si>
  <si>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</si>
  <si>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</si>
  <si>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</si>
  <si>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</si>
  <si>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</si>
  <si>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</si>
  <si>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</si>
  <si>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</si>
  <si>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</si>
  <si>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</si>
  <si>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</si>
  <si>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</si>
  <si>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</si>
  <si>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</si>
  <si>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</si>
  <si>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</si>
  <si>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</si>
  <si>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</si>
  <si>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</si>
  <si>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</si>
  <si>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</si>
  <si>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</si>
  <si>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</si>
  <si>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</si>
  <si>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</si>
  <si>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</si>
  <si>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</si>
  <si>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</si>
  <si>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</si>
  <si>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</si>
  <si>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</si>
  <si>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</si>
  <si>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</si>
  <si>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</si>
  <si>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</si>
  <si>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</si>
  <si>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</si>
  <si>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</si>
  <si>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</si>
  <si>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</si>
  <si>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</si>
  <si>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</si>
  <si>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</si>
  <si>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</si>
  <si>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</si>
  <si>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</si>
  <si>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</si>
  <si>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</si>
  <si>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</si>
  <si>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</si>
  <si>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</si>
  <si>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</si>
  <si>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</si>
  <si>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</si>
  <si>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</si>
  <si>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</si>
  <si>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</si>
  <si>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</si>
  <si>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</si>
  <si>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</si>
  <si>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</si>
  <si>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</si>
  <si>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</si>
  <si>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</si>
  <si>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</si>
  <si>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</si>
  <si>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</si>
  <si>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</si>
  <si>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</si>
  <si>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</si>
  <si>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</si>
  <si>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</si>
  <si>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</si>
  <si>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</si>
  <si>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</si>
  <si>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</si>
  <si>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</si>
  <si>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</si>
  <si>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</si>
  <si>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</si>
  <si>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</si>
  <si>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</si>
  <si>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</si>
  <si>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</si>
  <si>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</si>
  <si>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</si>
  <si>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</si>
  <si>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</si>
  <si>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</si>
  <si>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</si>
  <si>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</si>
  <si>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</si>
  <si>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</si>
  <si>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</si>
  <si>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</si>
  <si>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</si>
  <si>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</si>
  <si>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</si>
  <si>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</si>
  <si>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</si>
  <si>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</si>
  <si>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</si>
  <si>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</si>
  <si>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</si>
  <si>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</si>
  <si>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</si>
  <si>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</si>
  <si>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</si>
  <si>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</si>
  <si>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</si>
  <si>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</si>
  <si>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</si>
  <si>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</si>
  <si>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</si>
  <si>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</si>
  <si>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</si>
  <si>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</si>
  <si>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</si>
  <si>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</si>
  <si>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</si>
  <si>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</si>
  <si>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</si>
  <si>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</si>
  <si>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</si>
  <si>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</si>
  <si>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</si>
  <si>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Inventory Value</t>
  </si>
  <si>
    <t>Average lead time</t>
  </si>
  <si>
    <t>Sum of revenue generated</t>
  </si>
  <si>
    <t>Sum of Products sold</t>
  </si>
  <si>
    <t>Sum of inventory values</t>
  </si>
  <si>
    <t>Average shipping time</t>
  </si>
  <si>
    <t xml:space="preserve"> </t>
  </si>
  <si>
    <t>SUM of Revenue generated</t>
  </si>
  <si>
    <t>SUM of inventory value</t>
  </si>
  <si>
    <t>AVERAGE of Lead time</t>
  </si>
  <si>
    <t>Grand Total</t>
  </si>
  <si>
    <t>AVERAGE of Defect rates</t>
  </si>
  <si>
    <t>AVERAGE of Shipping times</t>
  </si>
  <si>
    <t>SUM of Stock levels</t>
  </si>
  <si>
    <t>LABELS</t>
  </si>
  <si>
    <t>HIGH PERFORMERS</t>
  </si>
  <si>
    <t>LOW PERFORMERS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</si>
</sst>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12">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B7B7B7"/>
        <bgColor rgb="FFB7B7B7"/>
      </patternFill>
    </fill>
    <fill>
      <patternFill patternType="solid">
        <fgColor rgb="FF00FF00"/>
        <bgColor rgb="FF00FF00"/>
      </patternFill>
    </fill>
    <fill>
      <patternFill patternType="solid">
        <fgColor rgb="FFFF00FF"/>
        <bgColor rgb="FFFF00FF"/>
      </patternFill>
    </fill>
    <fill>
      <patternFill patternType="solid">
        <fgColor rgb="FFCCCCCC"/>
        <bgColor rgb="FFCCCCCC"/>
      </patternFill>
    </fill>
    <fill>
      <patternFill patternType="solid">
        <fgColor rgb="FF4A86E8"/>
        <bgColor rgb="FF4A86E8"/>
      </patternFill>
    </fill>
    <fill>
      <patternFill patternType="solid">
        <fgColor rgb="FF999999"/>
        <bgColor rgb="FF999999"/>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2" xfId="0" applyAlignment="1" applyFont="1" applyNumberFormat="1">
      <alignment readingOrder="0"/>
    </xf>
    <xf borderId="0" fillId="0" fontId="1" numFmtId="2" xfId="0" applyFont="1" applyNumberFormat="1"/>
    <xf borderId="0" fillId="0" fontId="1" numFmtId="0" xfId="0" applyFont="1"/>
    <xf borderId="0" fillId="0" fontId="1" numFmtId="4" xfId="0" applyFont="1" applyNumberFormat="1"/>
    <xf borderId="0" fillId="2" fontId="1" numFmtId="0" xfId="0" applyAlignment="1" applyFill="1" applyFont="1">
      <alignment readingOrder="0"/>
    </xf>
    <xf borderId="0" fillId="3" fontId="1" numFmtId="0" xfId="0" applyAlignment="1" applyFill="1" applyFont="1">
      <alignment readingOrder="0"/>
    </xf>
    <xf borderId="0" fillId="4" fontId="1" numFmtId="0" xfId="0" applyFill="1" applyFont="1"/>
    <xf borderId="0" fillId="4" fontId="1" numFmtId="4" xfId="0" applyFont="1" applyNumberFormat="1"/>
    <xf borderId="0" fillId="5" fontId="1" numFmtId="0" xfId="0" applyAlignment="1" applyFill="1" applyFont="1">
      <alignment readingOrder="0"/>
    </xf>
    <xf borderId="0" fillId="6" fontId="1" numFmtId="0" xfId="0" applyAlignment="1" applyFill="1" applyFont="1">
      <alignment readingOrder="0"/>
    </xf>
    <xf borderId="0" fillId="7" fontId="1" numFmtId="2" xfId="0" applyFill="1" applyFont="1" applyNumberFormat="1"/>
    <xf borderId="0" fillId="8" fontId="1" numFmtId="0" xfId="0" applyAlignment="1" applyFill="1" applyFont="1">
      <alignment readingOrder="0"/>
    </xf>
    <xf borderId="0" fillId="9" fontId="1" numFmtId="0" xfId="0" applyAlignment="1" applyFill="1" applyFont="1">
      <alignment readingOrder="0"/>
    </xf>
    <xf borderId="0" fillId="0" fontId="2" numFmtId="0" xfId="0" applyFont="1"/>
    <xf borderId="0" fillId="10" fontId="1" numFmtId="0" xfId="0" applyFill="1" applyFont="1"/>
    <xf borderId="0" fillId="10" fontId="1" numFmtId="4" xfId="0" applyFont="1" applyNumberFormat="1"/>
    <xf borderId="0" fillId="3" fontId="1" numFmtId="0" xfId="0" applyFont="1"/>
    <xf borderId="0" fillId="3" fontId="1" numFmtId="2" xfId="0" applyFont="1" applyNumberFormat="1"/>
    <xf borderId="0" fillId="3" fontId="1" numFmtId="4" xfId="0" applyFont="1" applyNumberFormat="1"/>
    <xf borderId="0" fillId="10" fontId="1" numFmtId="2" xfId="0" applyFont="1" applyNumberFormat="1"/>
    <xf borderId="0" fillId="11" fontId="1" numFmtId="0" xfId="0" applyAlignment="1" applyFill="1" applyFont="1">
      <alignment readingOrder="0"/>
    </xf>
    <xf borderId="0" fillId="10" fontId="1" numFmtId="0" xfId="0" applyAlignment="1" applyFont="1">
      <alignment readingOrder="0"/>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schemas.microsoft.com/office/2007/relationships/slicerCache" Target="slicerCaches/slicerCache4.xml"/><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Revenue generated vs Product type</a:t>
            </a:r>
          </a:p>
        </c:rich>
      </c:tx>
      <c:overlay val="0"/>
    </c:title>
    <c:plotArea>
      <c:layout/>
      <c:barChart>
        <c:barDir val="col"/>
        <c:ser>
          <c:idx val="0"/>
          <c:order val="0"/>
          <c:tx>
            <c:strRef>
              <c:f>'KPI Pivot tables'!$B$1</c:f>
            </c:strRef>
          </c:tx>
          <c:spPr>
            <a:solidFill>
              <a:schemeClr val="accent1"/>
            </a:solidFill>
            <a:ln cmpd="sng">
              <a:solidFill>
                <a:srgbClr val="000000"/>
              </a:solidFill>
            </a:ln>
          </c:spPr>
          <c:cat>
            <c:strRef>
              <c:f>'KPI Pivot tables'!$A$2:$A$5</c:f>
            </c:strRef>
          </c:cat>
          <c:val>
            <c:numRef>
              <c:f>'KPI Pivot tables'!$B$2:$B$5</c:f>
              <c:numCache/>
            </c:numRef>
          </c:val>
        </c:ser>
        <c:axId val="1994703502"/>
        <c:axId val="857647521"/>
      </c:barChart>
      <c:catAx>
        <c:axId val="19947035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857647521"/>
      </c:catAx>
      <c:valAx>
        <c:axId val="857647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Revenue generated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470350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inventory value vs Supplier name</a:t>
            </a:r>
          </a:p>
        </c:rich>
      </c:tx>
      <c:overlay val="0"/>
    </c:title>
    <c:plotArea>
      <c:layout/>
      <c:barChart>
        <c:barDir val="bar"/>
        <c:ser>
          <c:idx val="0"/>
          <c:order val="0"/>
          <c:tx>
            <c:strRef>
              <c:f>'KPI Pivot tables'!$E$1</c:f>
            </c:strRef>
          </c:tx>
          <c:spPr>
            <a:solidFill>
              <a:schemeClr val="accent1"/>
            </a:solidFill>
            <a:ln cmpd="sng">
              <a:solidFill>
                <a:srgbClr val="000000"/>
              </a:solidFill>
            </a:ln>
          </c:spPr>
          <c:cat>
            <c:strRef>
              <c:f>'KPI Pivot tables'!$D$2:$D$7</c:f>
            </c:strRef>
          </c:cat>
          <c:val>
            <c:numRef>
              <c:f>'KPI Pivot tables'!$E$2:$E$7</c:f>
              <c:numCache/>
            </c:numRef>
          </c:val>
        </c:ser>
        <c:axId val="1187854997"/>
        <c:axId val="798079990"/>
      </c:barChart>
      <c:catAx>
        <c:axId val="11878549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Supplier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798079990"/>
      </c:catAx>
      <c:valAx>
        <c:axId val="7980799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inventory value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7854997"/>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Lead time vs Supplier name</a:t>
            </a:r>
          </a:p>
        </c:rich>
      </c:tx>
      <c:overlay val="0"/>
    </c:title>
    <c:plotArea>
      <c:layout/>
      <c:barChart>
        <c:barDir val="bar"/>
        <c:ser>
          <c:idx val="0"/>
          <c:order val="0"/>
          <c:tx>
            <c:strRef>
              <c:f>'KPI Pivot tables'!$H$1</c:f>
            </c:strRef>
          </c:tx>
          <c:spPr>
            <a:solidFill>
              <a:schemeClr val="accent1"/>
            </a:solidFill>
            <a:ln cmpd="sng">
              <a:solidFill>
                <a:srgbClr val="000000"/>
              </a:solidFill>
            </a:ln>
          </c:spPr>
          <c:cat>
            <c:strRef>
              <c:f>'KPI Pivot tables'!$G$2:$G$7</c:f>
            </c:strRef>
          </c:cat>
          <c:val>
            <c:numRef>
              <c:f>'KPI Pivot tables'!$H$2:$H$7</c:f>
              <c:numCache/>
            </c:numRef>
          </c:val>
        </c:ser>
        <c:axId val="1294879905"/>
        <c:axId val="1774326354"/>
      </c:barChart>
      <c:catAx>
        <c:axId val="12948799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Supplier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774326354"/>
      </c:catAx>
      <c:valAx>
        <c:axId val="17743263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Lead time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4879905"/>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Defect rates vs Supplier name</a:t>
            </a:r>
          </a:p>
        </c:rich>
      </c:tx>
      <c:overlay val="0"/>
    </c:title>
    <c:plotArea>
      <c:layout/>
      <c:barChart>
        <c:barDir val="col"/>
        <c:ser>
          <c:idx val="0"/>
          <c:order val="0"/>
          <c:tx>
            <c:strRef>
              <c:f>'KPI Pivot tables'!$D$10</c:f>
            </c:strRef>
          </c:tx>
          <c:spPr>
            <a:solidFill>
              <a:schemeClr val="accent1"/>
            </a:solidFill>
            <a:ln cmpd="sng">
              <a:solidFill>
                <a:srgbClr val="000000"/>
              </a:solidFill>
            </a:ln>
          </c:spPr>
          <c:cat>
            <c:strRef>
              <c:f>'KPI Pivot tables'!$C$11:$C$16</c:f>
            </c:strRef>
          </c:cat>
          <c:val>
            <c:numRef>
              <c:f>'KPI Pivot tables'!$D$11:$D$16</c:f>
              <c:numCache/>
            </c:numRef>
          </c:val>
        </c:ser>
        <c:axId val="336052058"/>
        <c:axId val="541457852"/>
      </c:barChart>
      <c:catAx>
        <c:axId val="336052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Supplier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541457852"/>
      </c:catAx>
      <c:valAx>
        <c:axId val="5414578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Defect rates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605205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Shipping times vs Shipping carriers</a:t>
            </a:r>
          </a:p>
        </c:rich>
      </c:tx>
      <c:overlay val="0"/>
    </c:title>
    <c:plotArea>
      <c:layout/>
      <c:barChart>
        <c:barDir val="bar"/>
        <c:ser>
          <c:idx val="0"/>
          <c:order val="0"/>
          <c:tx>
            <c:strRef>
              <c:f>'KPI Pivot tables'!$G$10</c:f>
            </c:strRef>
          </c:tx>
          <c:spPr>
            <a:solidFill>
              <a:schemeClr val="accent1"/>
            </a:solidFill>
            <a:ln cmpd="sng">
              <a:solidFill>
                <a:srgbClr val="000000"/>
              </a:solidFill>
            </a:ln>
          </c:spPr>
          <c:cat>
            <c:strRef>
              <c:f>'KPI Pivot tables'!$F$11:$F$14</c:f>
            </c:strRef>
          </c:cat>
          <c:val>
            <c:numRef>
              <c:f>'KPI Pivot tables'!$G$11:$G$14</c:f>
              <c:numCache/>
            </c:numRef>
          </c:val>
        </c:ser>
        <c:axId val="741337099"/>
        <c:axId val="1415667673"/>
      </c:barChart>
      <c:catAx>
        <c:axId val="7413370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Shipping carriers</a:t>
                </a:r>
              </a:p>
            </c:rich>
          </c:tx>
          <c:overlay val="0"/>
        </c:title>
        <c:numFmt formatCode="General" sourceLinked="1"/>
        <c:majorTickMark val="none"/>
        <c:minorTickMark val="none"/>
        <c:spPr/>
        <c:txPr>
          <a:bodyPr/>
          <a:lstStyle/>
          <a:p>
            <a:pPr lvl="0">
              <a:defRPr b="0">
                <a:solidFill>
                  <a:srgbClr val="000000"/>
                </a:solidFill>
                <a:latin typeface="+mn-lt"/>
              </a:defRPr>
            </a:pPr>
          </a:p>
        </c:txPr>
        <c:crossAx val="1415667673"/>
      </c:catAx>
      <c:valAx>
        <c:axId val="141566767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Shipping times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1337099"/>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Histogram of SUM of Stock levels</a:t>
            </a:r>
          </a:p>
        </c:rich>
      </c:tx>
      <c:overlay val="0"/>
    </c:title>
    <c:plotArea>
      <c:layout/>
      <c:pieChart>
        <c:varyColors val="1"/>
        <c:ser>
          <c:idx val="0"/>
          <c:order val="0"/>
          <c:tx>
            <c:strRef>
              <c:f>'KPI Pivot tables'!$B$18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spPr>
              <a:solidFill>
                <a:srgbClr val="1B79F0"/>
              </a:solidFill>
            </c:spPr>
          </c:dPt>
          <c:dPt>
            <c:idx val="52"/>
            <c:spPr>
              <a:solidFill>
                <a:srgbClr val="FFCB63"/>
              </a:solidFill>
            </c:spPr>
          </c:dPt>
          <c:dPt>
            <c:idx val="53"/>
            <c:spPr>
              <a:solidFill>
                <a:srgbClr val="025B4F"/>
              </a:solidFill>
            </c:spPr>
          </c:dPt>
          <c:dPt>
            <c:idx val="54"/>
            <c:spPr>
              <a:solidFill>
                <a:srgbClr val="40CE12"/>
              </a:solidFill>
            </c:spPr>
          </c:dPt>
          <c:dPt>
            <c:idx val="55"/>
            <c:spPr>
              <a:solidFill>
                <a:srgbClr val="233F56"/>
              </a:solidFill>
            </c:spPr>
          </c:dPt>
          <c:dPt>
            <c:idx val="56"/>
            <c:spPr>
              <a:solidFill>
                <a:srgbClr val="0671AA"/>
              </a:solidFill>
            </c:spPr>
          </c:dPt>
          <c:dPt>
            <c:idx val="57"/>
            <c:spPr>
              <a:solidFill>
                <a:srgbClr val="589323"/>
              </a:solidFill>
            </c:spPr>
          </c:dPt>
          <c:dPt>
            <c:idx val="58"/>
            <c:spPr>
              <a:solidFill>
                <a:srgbClr val="FFF7AF"/>
              </a:solidFill>
            </c:spPr>
          </c:dPt>
          <c:dPt>
            <c:idx val="59"/>
            <c:spPr>
              <a:solidFill>
                <a:srgbClr val="3A6F60"/>
              </a:solidFill>
            </c:spPr>
          </c:dPt>
          <c:dPt>
            <c:idx val="60"/>
            <c:spPr>
              <a:solidFill>
                <a:srgbClr val="79F315"/>
              </a:solidFill>
            </c:spPr>
          </c:dPt>
          <c:dPt>
            <c:idx val="61"/>
            <c:spPr>
              <a:solidFill>
                <a:srgbClr val="297793"/>
              </a:solidFill>
            </c:spPr>
          </c:dPt>
          <c:dPt>
            <c:idx val="62"/>
            <c:spPr>
              <a:solidFill>
                <a:srgbClr val="0785F5"/>
              </a:solidFill>
            </c:spPr>
          </c:dPt>
          <c:dPt>
            <c:idx val="63"/>
            <c:spPr>
              <a:solidFill>
                <a:srgbClr val="95AD57"/>
              </a:solidFill>
            </c:spPr>
          </c:dPt>
          <c:dPt>
            <c:idx val="64"/>
            <c:spPr>
              <a:solidFill>
                <a:srgbClr val="FF23FB"/>
              </a:solidFill>
            </c:spPr>
          </c:dPt>
          <c:dPt>
            <c:idx val="65"/>
            <c:spPr>
              <a:solidFill>
                <a:srgbClr val="718371"/>
              </a:solidFill>
            </c:spPr>
          </c:dPt>
          <c:dPt>
            <c:idx val="66"/>
            <c:spPr>
              <a:solidFill>
                <a:srgbClr val="B21818"/>
              </a:solidFill>
            </c:spPr>
          </c:dPt>
          <c:dPt>
            <c:idx val="67"/>
            <c:spPr>
              <a:solidFill>
                <a:srgbClr val="2FAFD0"/>
              </a:solidFill>
            </c:spPr>
          </c:dPt>
          <c:dPt>
            <c:idx val="68"/>
            <c:spPr>
              <a:solidFill>
                <a:srgbClr val="089940"/>
              </a:solidFill>
            </c:spPr>
          </c:dPt>
          <c:dPt>
            <c:idx val="69"/>
            <c:spPr>
              <a:solidFill>
                <a:srgbClr val="D2C78B"/>
              </a:solidFill>
            </c:spPr>
          </c:dPt>
          <c:dPt>
            <c:idx val="70"/>
            <c:spPr>
              <a:solidFill>
                <a:srgbClr val="FF4F47"/>
              </a:solidFill>
            </c:spPr>
          </c:dPt>
          <c:dPt>
            <c:idx val="71"/>
            <c:spPr>
              <a:solidFill>
                <a:srgbClr val="A99782"/>
              </a:solidFill>
            </c:spPr>
          </c:dPt>
          <c:dPt>
            <c:idx val="72"/>
            <c:spPr>
              <a:solidFill>
                <a:srgbClr val="EA3C1C"/>
              </a:solidFill>
            </c:spPr>
          </c:dPt>
          <c:dPt>
            <c:idx val="73"/>
            <c:spPr>
              <a:solidFill>
                <a:srgbClr val="36E80C"/>
              </a:solidFill>
            </c:spPr>
          </c:dPt>
          <c:dPt>
            <c:idx val="74"/>
            <c:spPr>
              <a:solidFill>
                <a:srgbClr val="09AD8C"/>
              </a:solidFill>
            </c:spPr>
          </c:dPt>
          <c:dPt>
            <c:idx val="75"/>
            <c:spPr>
              <a:solidFill>
                <a:srgbClr val="0FE1BE"/>
              </a:solidFill>
            </c:spPr>
          </c:dPt>
          <c:dPt>
            <c:idx val="76"/>
            <c:spPr>
              <a:solidFill>
                <a:srgbClr val="FF7B93"/>
              </a:solidFill>
            </c:spPr>
          </c:dPt>
          <c:dPt>
            <c:idx val="77"/>
            <c:spPr>
              <a:solidFill>
                <a:srgbClr val="E0AB93"/>
              </a:solidFill>
            </c:spPr>
          </c:dPt>
          <c:dPt>
            <c:idx val="78"/>
            <c:spPr>
              <a:solidFill>
                <a:srgbClr val="23611F"/>
              </a:solidFill>
            </c:spPr>
          </c:dPt>
          <c:dPt>
            <c:idx val="79"/>
            <c:spPr>
              <a:solidFill>
                <a:srgbClr val="3C2049"/>
              </a:solidFill>
            </c:spPr>
          </c:dPt>
          <c:dPt>
            <c:idx val="80"/>
            <c:spPr>
              <a:solidFill>
                <a:srgbClr val="0BC1D7"/>
              </a:solidFill>
            </c:spPr>
          </c:dPt>
          <c:dPt>
            <c:idx val="81"/>
            <c:spPr>
              <a:solidFill>
                <a:srgbClr val="4CFBF2"/>
              </a:solidFill>
            </c:spPr>
          </c:dPt>
          <c:dPt>
            <c:idx val="82"/>
            <c:spPr>
              <a:solidFill>
                <a:srgbClr val="FFA6E0"/>
              </a:solidFill>
            </c:spPr>
          </c:dPt>
          <c:dPt>
            <c:idx val="83"/>
            <c:spPr>
              <a:solidFill>
                <a:srgbClr val="18BEA4"/>
              </a:solidFill>
            </c:spPr>
          </c:dPt>
          <c:dPt>
            <c:idx val="84"/>
            <c:spPr>
              <a:solidFill>
                <a:srgbClr val="5C8522"/>
              </a:solidFill>
            </c:spPr>
          </c:dPt>
          <c:dPt>
            <c:idx val="85"/>
            <c:spPr>
              <a:solidFill>
                <a:srgbClr val="425985"/>
              </a:solidFill>
            </c:spPr>
          </c:dPt>
          <c:dPt>
            <c:idx val="86"/>
            <c:spPr>
              <a:solidFill>
                <a:srgbClr val="0CD522"/>
              </a:solidFill>
            </c:spPr>
          </c:dPt>
          <c:dPt>
            <c:idx val="87"/>
            <c:spPr>
              <a:solidFill>
                <a:srgbClr val="891525"/>
              </a:solidFill>
            </c:spPr>
          </c:dPt>
          <c:dPt>
            <c:idx val="88"/>
            <c:spPr>
              <a:solidFill>
                <a:srgbClr val="FFD22C"/>
              </a:solidFill>
            </c:spPr>
          </c:dPt>
          <c:dPt>
            <c:idx val="89"/>
            <c:spPr>
              <a:solidFill>
                <a:srgbClr val="4FD2B5"/>
              </a:solidFill>
            </c:spPr>
          </c:dPt>
          <c:dPt>
            <c:idx val="90"/>
            <c:spPr>
              <a:solidFill>
                <a:srgbClr val="95AA26"/>
              </a:solidFill>
            </c:spPr>
          </c:dPt>
          <c:dPt>
            <c:idx val="91"/>
            <c:spPr>
              <a:solidFill>
                <a:srgbClr val="4991C2"/>
              </a:solidFill>
            </c:spPr>
          </c:dPt>
          <c:dPt>
            <c:idx val="92"/>
            <c:spPr>
              <a:solidFill>
                <a:srgbClr val="0DEA6E"/>
              </a:solidFill>
            </c:spPr>
          </c:dPt>
          <c:dPt>
            <c:idx val="93"/>
            <c:spPr>
              <a:solidFill>
                <a:srgbClr val="C63059"/>
              </a:solidFill>
            </c:spPr>
          </c:dPt>
          <c:dPt>
            <c:idx val="94"/>
            <c:spPr>
              <a:solidFill>
                <a:srgbClr val="FFFE78"/>
              </a:solidFill>
            </c:spPr>
          </c:dPt>
          <c:dPt>
            <c:idx val="95"/>
            <c:spPr>
              <a:solidFill>
                <a:srgbClr val="87E6C7"/>
              </a:solidFill>
            </c:spPr>
          </c:dPt>
          <c:dPt>
            <c:idx val="96"/>
            <c:spPr>
              <a:solidFill>
                <a:srgbClr val="CDCF29"/>
              </a:solidFill>
            </c:spPr>
          </c:dPt>
          <c:dPt>
            <c:idx val="97"/>
            <c:spPr>
              <a:solidFill>
                <a:srgbClr val="4FC9FF"/>
              </a:solidFill>
            </c:spPr>
          </c:dPt>
          <c:dPt>
            <c:idx val="98"/>
            <c:spPr>
              <a:solidFill>
                <a:srgbClr val="0EFEB9"/>
              </a:solidFill>
            </c:spPr>
          </c:dPt>
          <c:dPt>
            <c:idx val="99"/>
            <c:spPr>
              <a:solidFill>
                <a:srgbClr val="024A8D"/>
              </a:solidFill>
            </c:spPr>
          </c:dPt>
          <c:dLbls>
            <c:showLegendKey val="0"/>
            <c:showVal val="0"/>
            <c:showCatName val="0"/>
            <c:showSerName val="0"/>
            <c:showPercent val="0"/>
            <c:showBubbleSize val="0"/>
            <c:showLeaderLines val="1"/>
          </c:dLbls>
          <c:cat>
            <c:strRef>
              <c:f>'KPI Pivot tables'!$A$19:$A$118</c:f>
            </c:strRef>
          </c:cat>
          <c:val>
            <c:numRef>
              <c:f>'KPI Pivot tables'!$B$19:$B$118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chart" Target="../charts/chart6.xml"/><Relationship Id="rId10" Type="http://schemas.openxmlformats.org/officeDocument/2006/relationships/chart" Target="../charts/chart5.xml"/><Relationship Id="rId9" Type="http://schemas.openxmlformats.org/officeDocument/2006/relationships/chart" Target="../charts/chart4.xml"/><Relationship Id="rId5" Type="http://schemas.openxmlformats.org/officeDocument/2006/relationships/image" Target="../media/Chart5.png"/><Relationship Id="rId6" Type="http://schemas.openxmlformats.org/officeDocument/2006/relationships/chart" Target="../charts/chart1.xml"/><Relationship Id="rId7" Type="http://schemas.openxmlformats.org/officeDocument/2006/relationships/chart" Target="../charts/chart2.xml"/><Relationship Id="rId8"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733425</xdr:colOff>
      <xdr:row>0</xdr:row>
      <xdr:rowOff>57150</xdr:rowOff>
    </xdr:from>
    <xdr:ext cx="1800225" cy="619125"/>
    <xdr:pic>
      <xdr:nvPicPr>
        <xdr:cNvPr id="190389419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0</xdr:row>
      <xdr:rowOff>57150</xdr:rowOff>
    </xdr:from>
    <xdr:ext cx="1590675" cy="619125"/>
    <xdr:pic>
      <xdr:nvPicPr>
        <xdr:cNvPr id="1764613503"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619125</xdr:colOff>
      <xdr:row>0</xdr:row>
      <xdr:rowOff>57150</xdr:rowOff>
    </xdr:from>
    <xdr:ext cx="1704975" cy="619125"/>
    <xdr:pic>
      <xdr:nvPicPr>
        <xdr:cNvPr id="1660257853"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695325</xdr:colOff>
      <xdr:row>0</xdr:row>
      <xdr:rowOff>57150</xdr:rowOff>
    </xdr:from>
    <xdr:ext cx="1952625" cy="619125"/>
    <xdr:pic>
      <xdr:nvPicPr>
        <xdr:cNvPr id="209886281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409575</xdr:colOff>
      <xdr:row>0</xdr:row>
      <xdr:rowOff>57150</xdr:rowOff>
    </xdr:from>
    <xdr:ext cx="2124075" cy="619125"/>
    <xdr:pic>
      <xdr:nvPicPr>
        <xdr:cNvPr id="1444621770"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38100</xdr:colOff>
      <xdr:row>3</xdr:row>
      <xdr:rowOff>104775</xdr:rowOff>
    </xdr:from>
    <xdr:ext cx="4486275" cy="18573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685800</xdr:colOff>
      <xdr:row>3</xdr:row>
      <xdr:rowOff>104775</xdr:rowOff>
    </xdr:from>
    <xdr:ext cx="4724400" cy="18573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619125</xdr:colOff>
      <xdr:row>3</xdr:row>
      <xdr:rowOff>104775</xdr:rowOff>
    </xdr:from>
    <xdr:ext cx="4410075" cy="18573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38100</xdr:colOff>
      <xdr:row>12</xdr:row>
      <xdr:rowOff>200025</xdr:rowOff>
    </xdr:from>
    <xdr:ext cx="4000500" cy="21050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xdr:col>
      <xdr:colOff>200025</xdr:colOff>
      <xdr:row>13</xdr:row>
      <xdr:rowOff>9525</xdr:rowOff>
    </xdr:from>
    <xdr:ext cx="3619500" cy="21050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466725</xdr:colOff>
      <xdr:row>13</xdr:row>
      <xdr:rowOff>9525</xdr:rowOff>
    </xdr:from>
    <xdr:ext cx="2686050" cy="210502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7</xdr:col>
      <xdr:colOff>942975</xdr:colOff>
      <xdr:row>13</xdr:row>
      <xdr:rowOff>9525</xdr:rowOff>
    </xdr:from>
    <xdr:ext cx="3409950" cy="2105025"/>
    <xdr:pic>
      <xdr:nvPicPr>
        <xdr:cNvPr id="1127324601" name="Chart12"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9</xdr:col>
      <xdr:colOff>695325</xdr:colOff>
      <xdr:row>0</xdr:row>
      <xdr:rowOff>0</xdr:rowOff>
    </xdr:from>
    <xdr:ext cx="2286000" cy="2857500"/>
    <mc:AlternateContent>
      <mc:Choice Requires="sle15">
        <xdr:graphicFrame>
          <xdr:nvGraphicFramePr>
            <xdr:cNvPr id="1" name="Supplier name_1"/>
            <xdr:cNvGraphicFramePr/>
          </xdr:nvGraphicFramePr>
          <xdr:xfrm>
            <a:off x="0" y="0"/>
            <a:ext cx="0" cy="0"/>
          </xdr:xfrm>
          <a:graphic>
            <a:graphicData uri="http://schemas.microsoft.com/office/drawing/2010/slicer">
              <x3Unk:slicer name="Supplier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695325</xdr:colOff>
      <xdr:row>1</xdr:row>
      <xdr:rowOff>200025</xdr:rowOff>
    </xdr:from>
    <xdr:ext cx="2286000" cy="2857500"/>
    <mc:AlternateContent>
      <mc:Choice Requires="sle15">
        <xdr:graphicFrame>
          <xdr:nvGraphicFramePr>
            <xdr:cNvPr id="2" name="Product type_2"/>
            <xdr:cNvGraphicFramePr/>
          </xdr:nvGraphicFramePr>
          <xdr:xfrm>
            <a:off x="0" y="0"/>
            <a:ext cx="0" cy="0"/>
          </xdr:xfrm>
          <a:graphic>
            <a:graphicData uri="http://schemas.microsoft.com/office/drawing/2010/slicer">
              <x3Unk:slicer name="Product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952500</xdr:colOff>
      <xdr:row>0</xdr:row>
      <xdr:rowOff>0</xdr:rowOff>
    </xdr:from>
    <xdr:ext cx="2124075" cy="2857500"/>
    <mc:AlternateContent>
      <mc:Choice Requires="sle15">
        <xdr:graphicFrame>
          <xdr:nvGraphicFramePr>
            <xdr:cNvPr id="3" name="Location_3"/>
            <xdr:cNvGraphicFramePr/>
          </xdr:nvGraphicFramePr>
          <xdr:xfrm>
            <a:off x="0" y="0"/>
            <a:ext cx="0" cy="0"/>
          </xdr:xfrm>
          <a:graphic>
            <a:graphicData uri="http://schemas.microsoft.com/office/drawing/2010/slicer">
              <x3Unk:slicer name="Locat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866775</xdr:colOff>
      <xdr:row>1</xdr:row>
      <xdr:rowOff>200025</xdr:rowOff>
    </xdr:from>
    <xdr:ext cx="2286000" cy="2857500"/>
    <mc:AlternateContent>
      <mc:Choice Requires="sle15">
        <xdr:graphicFrame>
          <xdr:nvGraphicFramePr>
            <xdr:cNvPr id="4" name="Shipping carriers_4"/>
            <xdr:cNvGraphicFramePr/>
          </xdr:nvGraphicFramePr>
          <xdr:xfrm>
            <a:off x="0" y="0"/>
            <a:ext cx="0" cy="0"/>
          </xdr:xfrm>
          <a:graphic>
            <a:graphicData uri="http://schemas.microsoft.com/office/drawing/2010/slicer">
              <x3Unk:slicer name="Shipping carriers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101" sheet="supply_chain_data.csv"/>
  </cacheSource>
  <cacheFields>
    <cacheField name="Product type" numFmtId="0">
      <sharedItems>
        <s v="haircare"/>
        <s v="skincare"/>
        <s v="cosmetics"/>
      </sharedItems>
    </cacheField>
    <cacheField name="SKU" numFmtId="0">
      <sharedItems>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4">
      <sharedItems containsSemiMixedTypes="0" containsString="0" containsNumber="1">
        <n v="69.8080055421157"/>
        <n v="14.8435232750843"/>
        <n v="11.3196832930905"/>
        <n v="61.1633430164377"/>
        <n v="4.80549603634589"/>
        <n v="1.69997601386593"/>
        <n v="4.07833286310794"/>
        <n v="42.95838438246"/>
        <n v="68.7175967485273"/>
        <n v="64.0157329412785"/>
        <n v="15.7077956819121"/>
        <n v="90.6354599822886"/>
        <n v="71.21338907536"/>
        <n v="16.1603933173799"/>
        <n v="99.1713286386241"/>
        <n v="36.9892449286269"/>
        <n v="7.54717210979127"/>
        <n v="81.462534369237"/>
        <n v="36.4436277704609"/>
        <n v="51.1238700879647"/>
        <n v="96.3410724399633"/>
        <n v="84.8938689849508"/>
        <n v="27.6797808865019"/>
        <n v="4.32434118586416"/>
        <n v="4.1563083593111"/>
        <n v="39.6293439850926"/>
        <n v="97.4469466178928"/>
        <n v="92.557360812402"/>
        <n v="2.39727470559714"/>
        <n v="63.4475591852073"/>
        <n v="8.02285921052639"/>
        <n v="50.8473930517187"/>
        <n v="79.2099360156567"/>
        <n v="64.7954350001556"/>
        <n v="37.4675923298424"/>
        <n v="84.9577868163504"/>
        <n v="9.81300257875405"/>
        <n v="23.3998447526143"/>
        <n v="52.0759306827078"/>
        <n v="19.1274772658232"/>
        <n v="80.5414241709403"/>
        <n v="99.1132916153171"/>
        <n v="46.5291676145167"/>
        <n v="11.7432717763092"/>
        <n v="51.3557909131103"/>
        <n v="33.7841380330655"/>
        <n v="27.0822071998889"/>
        <n v="95.712135880936"/>
        <n v="76.0355444268917"/>
        <n v="78.89791320564"/>
        <n v="14.203484264803"/>
        <n v="26.7007609724617"/>
        <n v="98.031829656465"/>
        <n v="30.3414707112142"/>
        <n v="31.1462431602408"/>
        <n v="79.8550583407894"/>
        <n v="20.9863860370433"/>
        <n v="49.2632053507341"/>
        <n v="59.8415613772893"/>
        <n v="63.8283983477109"/>
        <n v="17.0280279201887"/>
        <n v="52.0287499032949"/>
        <n v="72.7963539555873"/>
        <n v="13.0173767852878"/>
        <n v="89.6340956081353"/>
        <n v="33.6977172066431"/>
        <n v="26.034869773962"/>
        <n v="87.755432354001"/>
        <n v="37.9318123827903"/>
        <n v="54.8655285170697"/>
        <n v="47.9145418240587"/>
        <n v="6.38153316274796"/>
        <n v="90.204427520528"/>
        <n v="83.8510176813046"/>
        <n v="3.17001141356615"/>
        <n v="92.9968842339706"/>
        <n v="69.1087995474303"/>
        <n v="57.4497429589714"/>
        <n v="6.30688317611191"/>
        <n v="57.0570312211032"/>
        <n v="91.1283183504443"/>
        <n v="72.8192069303182"/>
        <n v="17.0349307394679"/>
        <n v="68.9112462116063"/>
        <n v="89.1043672921022"/>
        <n v="76.9629944151938"/>
        <n v="19.9981769404042"/>
        <n v="80.4140366503557"/>
        <n v="75.270406975725"/>
        <n v="97.7600855819386"/>
        <n v="13.8819135013591"/>
        <n v="62.1119654639617"/>
        <n v="47.7142330758202"/>
        <n v="69.2908310029054"/>
        <n v="3.03768872463141"/>
        <n v="77.9039272194477"/>
        <n v="24.4231314203733"/>
        <n v="3.52611125914341"/>
        <n v="19.7546048668786"/>
        <n v="68.5178326992766"/>
      </sharedItems>
    </cacheField>
    <cacheField name="Availability" numFmtId="0">
      <sharedItems containsSemiMixedTypes="0" containsString="0" containsNumber="1" containsInteger="1">
        <n v="55.0"/>
        <n v="95.0"/>
        <n v="34.0"/>
        <n v="68.0"/>
        <n v="26.0"/>
        <n v="87.0"/>
        <n v="48.0"/>
        <n v="59.0"/>
        <n v="78.0"/>
        <n v="35.0"/>
        <n v="11.0"/>
        <n v="41.0"/>
        <n v="5.0"/>
        <n v="94.0"/>
        <n v="74.0"/>
        <n v="82.0"/>
        <n v="23.0"/>
        <n v="100.0"/>
        <n v="22.0"/>
        <n v="60.0"/>
        <n v="30.0"/>
        <n v="32.0"/>
        <n v="73.0"/>
        <n v="9.0"/>
        <n v="42.0"/>
        <n v="12.0"/>
        <n v="3.0"/>
        <n v="10.0"/>
        <n v="28.0"/>
        <n v="43.0"/>
        <n v="63.0"/>
        <n v="96.0"/>
        <n v="75.0"/>
        <n v="97.0"/>
        <n v="98.0"/>
        <n v="6.0"/>
        <n v="1.0"/>
        <n v="93.0"/>
        <n v="19.0"/>
        <n v="91.0"/>
        <n v="61.0"/>
        <n v="16.0"/>
        <n v="90.0"/>
        <n v="65.0"/>
        <n v="81.0"/>
        <n v="89.0"/>
        <n v="72.0"/>
        <n v="52.0"/>
        <n v="29.0"/>
        <n v="62.0"/>
        <n v="14.0"/>
        <n v="88.0"/>
        <n v="64.0"/>
        <n v="50.0"/>
        <n v="56.0"/>
        <n v="13.0"/>
        <n v="99.0"/>
        <n v="83.0"/>
        <n v="18.0"/>
        <n v="24.0"/>
        <n v="58.0"/>
        <n v="44.0"/>
        <n v="17.0"/>
      </sharedItems>
    </cacheField>
    <cacheField name="Number of products sold" numFmtId="0">
      <sharedItems containsSemiMixedTypes="0" containsString="0" containsNumber="1" containsInteger="1">
        <n v="802.0"/>
        <n v="736.0"/>
        <n v="8.0"/>
        <n v="83.0"/>
        <n v="871.0"/>
        <n v="147.0"/>
        <n v="65.0"/>
        <n v="426.0"/>
        <n v="150.0"/>
        <n v="980.0"/>
        <n v="996.0"/>
        <n v="960.0"/>
        <n v="336.0"/>
        <n v="249.0"/>
        <n v="562.0"/>
        <n v="469.0"/>
        <n v="280.0"/>
        <n v="126.0"/>
        <n v="620.0"/>
        <n v="187.0"/>
        <n v="320.0"/>
        <n v="601.0"/>
        <n v="884.0"/>
        <n v="391.0"/>
        <n v="209.0"/>
        <n v="142.0"/>
        <n v="353.0"/>
        <n v="352.0"/>
        <n v="394.0"/>
        <n v="253.0"/>
        <n v="327.0"/>
        <n v="168.0"/>
        <n v="781.0"/>
        <n v="616.0"/>
        <n v="602.0"/>
        <n v="449.0"/>
        <n v="963.0"/>
        <n v="705.0"/>
        <n v="176.0"/>
        <n v="933.0"/>
        <n v="556.0"/>
        <n v="155.0"/>
        <n v="598.0"/>
        <n v="919.0"/>
        <n v="24.0"/>
        <n v="859.0"/>
        <n v="910.0"/>
        <n v="29.0"/>
        <n v="99.0"/>
        <n v="633.0"/>
        <n v="154.0"/>
        <n v="820.0"/>
        <n v="242.0"/>
        <n v="622.0"/>
        <n v="701.0"/>
        <n v="93.0"/>
        <n v="227.0"/>
        <n v="896.0"/>
        <n v="484.0"/>
        <n v="380.0"/>
        <n v="117.0"/>
        <n v="270.0"/>
        <n v="246.0"/>
        <n v="134.0"/>
        <n v="457.0"/>
        <n v="704.0"/>
        <n v="513.0"/>
        <n v="163.0"/>
        <n v="511.0"/>
        <n v="32.0"/>
        <n v="637.0"/>
        <n v="478.0"/>
        <n v="375.0"/>
        <n v="904.0"/>
        <n v="106.0"/>
        <n v="241.0"/>
        <n v="359.0"/>
        <n v="946.0"/>
        <n v="198.0"/>
        <n v="872.0"/>
        <n v="774.0"/>
        <n v="663.0"/>
        <n v="618.0"/>
        <n v="25.0"/>
        <n v="223.0"/>
        <n v="79.0"/>
        <n v="737.0"/>
        <n v="916.0"/>
        <n v="276.0"/>
        <n v="114.0"/>
        <n v="987.0"/>
        <n v="672.0"/>
        <n v="324.0"/>
        <n v="62.0"/>
        <n v="913.0"/>
        <n v="627.0"/>
      </sharedItems>
    </cacheField>
    <cacheField name="Revenue generated" numFmtId="4">
      <sharedItems containsSemiMixedTypes="0" containsString="0" containsNumber="1">
        <n v="8661.99679239238"/>
        <n v="7460.90006544584"/>
        <n v="9577.74962586873"/>
        <n v="7766.83642568523"/>
        <n v="2686.50515156744"/>
        <n v="2828.34874597575"/>
        <n v="7823.47655953173"/>
        <n v="8496.10381308983"/>
        <n v="7517.36321063112"/>
        <n v="4971.14598758555"/>
        <n v="2330.96580209194"/>
        <n v="6099.94411558145"/>
        <n v="2873.74144602144"/>
        <n v="4052.73841623786"/>
        <n v="8653.5709264698"/>
        <n v="5442.08678539767"/>
        <n v="6453.79796817628"/>
        <n v="2629.39643484526"/>
        <n v="9364.67350507617"/>
        <n v="2553.49558499121"/>
        <n v="8128.02769685119"/>
        <n v="7087.05269635743"/>
        <n v="2390.80786655617"/>
        <n v="8858.36757101148"/>
        <n v="9049.07786093989"/>
        <n v="2174.77705435065"/>
        <n v="3716.49332589403"/>
        <n v="2686.45722357598"/>
        <n v="6117.32461508399"/>
        <n v="8318.90319461717"/>
        <n v="2766.34236686608"/>
        <n v="9655.13510271939"/>
        <n v="9571.55048732781"/>
        <n v="5149.99835040803"/>
        <n v="9061.71089550772"/>
        <n v="6541.32934480246"/>
        <n v="7573.40245784873"/>
        <n v="2438.33993047002"/>
        <n v="9692.31804021843"/>
        <n v="1912.46566310076"/>
        <n v="5724.95935045626"/>
        <n v="5521.20525901097"/>
        <n v="1839.60942585676"/>
        <n v="5737.42559911902"/>
        <n v="7152.28604943551"/>
        <n v="5267.95680751052"/>
        <n v="2556.76736063359"/>
        <n v="7089.47424993418"/>
        <n v="7397.07100458718"/>
        <n v="8001.613206519"/>
        <n v="5910.88538966889"/>
        <n v="9866.46545797969"/>
        <n v="9435.76260891213"/>
        <n v="8232.33482942582"/>
        <n v="6088.02147994085"/>
        <n v="2925.67517030381"/>
        <n v="4767.02048434413"/>
        <n v="1605.8669003924"/>
        <n v="2021.1498103371"/>
        <n v="1061.61852301328"/>
        <n v="8864.08434958643"/>
        <n v="6885.58935089625"/>
        <n v="3899.74683372922"/>
        <n v="4256.94914085022"/>
        <n v="8458.73087836717"/>
        <n v="8354.57968648199"/>
        <n v="8367.72161802015"/>
        <n v="9473.79803250833"/>
        <n v="3550.21843278099"/>
        <n v="1752.38108748412"/>
        <n v="7014.88798720338"/>
        <n v="8180.33708542544"/>
        <n v="2633.12198131225"/>
        <n v="7910.88691614068"/>
        <n v="5709.94529596928"/>
        <n v="1889.07358977933"/>
        <n v="5328.37598429775"/>
        <n v="2483.76017754279"/>
        <n v="1292.45841793775"/>
        <n v="7888.72326842708"/>
        <n v="8651.67268298206"/>
        <n v="4384.41340004586"/>
        <n v="2943.38186760945"/>
        <n v="2411.75463211049"/>
        <n v="2048.29009984871"/>
        <n v="8684.61305925385"/>
        <n v="1229.59102856498"/>
        <n v="5133.84670108669"/>
        <n v="9444.74203306298"/>
        <n v="5924.68256685323"/>
        <n v="9592.63357028031"/>
        <n v="1935.20679350759"/>
        <n v="2100.12975462593"/>
        <n v="4531.4021336919"/>
        <n v="7888.35654666187"/>
        <n v="7386.36394404866"/>
        <n v="7698.42476563211"/>
        <n v="4370.91657998453"/>
        <n v="8525.95255968352"/>
        <n v="9185.1858291817"/>
      </sharedItems>
    </cacheField>
    <cacheField name="Customer demographics" numFmtId="0">
      <sharedItems>
        <s v="Non-binary"/>
        <s v="Female"/>
        <s v="Unknown"/>
        <s v="Male"/>
      </sharedItems>
    </cacheField>
    <cacheField name="Stock levels" numFmtId="0">
      <sharedItems containsSemiMixedTypes="0" containsString="0" containsNumber="1" containsInteger="1">
        <n v="58.0"/>
        <n v="53.0"/>
        <n v="1.0"/>
        <n v="23.0"/>
        <n v="5.0"/>
        <n v="90.0"/>
        <n v="11.0"/>
        <n v="93.0"/>
        <n v="14.0"/>
        <n v="51.0"/>
        <n v="46.0"/>
        <n v="100.0"/>
        <n v="80.0"/>
        <n v="54.0"/>
        <n v="9.0"/>
        <n v="2.0"/>
        <n v="45.0"/>
        <n v="10.0"/>
        <n v="48.0"/>
        <n v="27.0"/>
        <n v="69.0"/>
        <n v="71.0"/>
        <n v="84.0"/>
        <n v="4.0"/>
        <n v="82.0"/>
        <n v="59.0"/>
        <n v="47.0"/>
        <n v="60.0"/>
        <n v="6.0"/>
        <n v="89.0"/>
        <n v="42.0"/>
        <n v="18.0"/>
        <n v="25.0"/>
        <n v="78.0"/>
        <n v="64.0"/>
        <n v="22.0"/>
        <n v="36.0"/>
        <n v="13.0"/>
        <n v="92.0"/>
        <n v="30.0"/>
        <n v="97.0"/>
        <n v="31.0"/>
        <n v="96.0"/>
        <n v="33.0"/>
        <n v="41.0"/>
        <n v="32.0"/>
        <n v="86.0"/>
        <n v="73.0"/>
        <n v="57.0"/>
        <n v="12.0"/>
        <n v="0.0"/>
        <n v="95.0"/>
        <n v="76.0"/>
        <n v="17.0"/>
        <n v="16.0"/>
        <n v="38.0"/>
        <n v="39.0"/>
        <n v="65.0"/>
        <n v="15.0"/>
        <n v="66.0"/>
        <n v="98.0"/>
        <n v="63.0"/>
        <n v="77.0"/>
        <n v="67.0"/>
        <n v="55.0"/>
      </sharedItems>
    </cacheField>
    <cacheField name="Lead times" numFmtId="0">
      <sharedItems containsSemiMixedTypes="0" containsString="0" containsNumber="1" containsInteger="1">
        <n v="7.0"/>
        <n v="30.0"/>
        <n v="10.0"/>
        <n v="13.0"/>
        <n v="3.0"/>
        <n v="27.0"/>
        <n v="15.0"/>
        <n v="17.0"/>
        <n v="23.0"/>
        <n v="8.0"/>
        <n v="29.0"/>
        <n v="5.0"/>
        <n v="11.0"/>
        <n v="12.0"/>
        <n v="25.0"/>
        <n v="1.0"/>
        <n v="26.0"/>
        <n v="16.0"/>
        <n v="9.0"/>
        <n v="20.0"/>
        <n v="19.0"/>
        <n v="24.0"/>
        <n v="4.0"/>
        <n v="22.0"/>
        <n v="18.0"/>
        <n v="2.0"/>
        <n v="6.0"/>
        <n v="28.0"/>
        <n v="14.0"/>
      </sharedItems>
    </cacheField>
    <cacheField name="Order quantities" numFmtId="0">
      <sharedItems containsSemiMixedTypes="0" containsString="0" containsNumber="1" containsInteger="1">
        <n v="96.0"/>
        <n v="37.0"/>
        <n v="88.0"/>
        <n v="59.0"/>
        <n v="56.0"/>
        <n v="66.0"/>
        <n v="58.0"/>
        <n v="11.0"/>
        <n v="15.0"/>
        <n v="83.0"/>
        <n v="80.0"/>
        <n v="60.0"/>
        <n v="85.0"/>
        <n v="48.0"/>
        <n v="78.0"/>
        <n v="69.0"/>
        <n v="46.0"/>
        <n v="94.0"/>
        <n v="68.0"/>
        <n v="7.0"/>
        <n v="63.0"/>
        <n v="29.0"/>
        <n v="2.0"/>
        <n v="52.0"/>
        <n v="62.0"/>
        <n v="24.0"/>
        <n v="67.0"/>
        <n v="35.0"/>
        <n v="44.0"/>
        <n v="64.0"/>
        <n v="95.0"/>
        <n v="21.0"/>
        <n v="28.0"/>
        <n v="34.0"/>
        <n v="39.0"/>
        <n v="38.0"/>
        <n v="57.0"/>
        <n v="72.0"/>
        <n v="6.0"/>
        <n v="51.0"/>
        <n v="9.0"/>
        <n v="82.0"/>
        <n v="54.0"/>
        <n v="61.0"/>
        <n v="26.0"/>
        <n v="36.0"/>
        <n v="40.0"/>
        <n v="10.0"/>
        <n v="75.0"/>
        <n v="19.0"/>
        <n v="71.0"/>
        <n v="27.0"/>
        <n v="22.0"/>
        <n v="77.0"/>
        <n v="1.0"/>
        <n v="20.0"/>
        <n v="41.0"/>
        <n v="8.0"/>
        <n v="55.0"/>
        <n v="32.0"/>
        <n v="4.0"/>
      </sharedItems>
    </cacheField>
    <cacheField name="Shipping times" numFmtId="0">
      <sharedItems containsSemiMixedTypes="0" containsString="0" containsNumber="1" containsInteger="1">
        <n v="4.0"/>
        <n v="2.0"/>
        <n v="6.0"/>
        <n v="8.0"/>
        <n v="3.0"/>
        <n v="1.0"/>
        <n v="7.0"/>
        <n v="9.0"/>
        <n v="5.0"/>
        <n v="10.0"/>
      </sharedItems>
    </cacheField>
    <cacheField name="Shipping carriers" numFmtId="0">
      <sharedItems>
        <s v="Carrier B"/>
        <s v="Carrier A"/>
        <s v="Carrier C"/>
      </sharedItems>
    </cacheField>
    <cacheField name="Shipping costs" numFmtId="2">
      <sharedItems containsSemiMixedTypes="0" containsString="0" containsNumber="1">
        <n v="2.9565721394308"/>
        <n v="9.71657477143131"/>
        <n v="8.05447926173215"/>
        <n v="1.72956856354342"/>
        <n v="3.89054791587067"/>
        <n v="4.44409886438229"/>
        <n v="3.880763302952"/>
        <n v="2.34833878441778"/>
        <n v="3.40473385708302"/>
        <n v="7.16664529104821"/>
        <n v="8.67321121127861"/>
        <n v="4.52394312431666"/>
        <n v="1.32527401018452"/>
        <n v="9.53728306110833"/>
        <n v="2.03977018944933"/>
        <n v="2.4220397232752"/>
        <n v="4.1913245857055"/>
        <n v="3.58541895823234"/>
        <n v="4.3392247141107"/>
        <n v="4.74263588284187"/>
        <n v="8.87833465092684"/>
        <n v="6.03788376921829"/>
        <n v="9.56764892092304"/>
        <n v="2.92485760114555"/>
        <n v="9.74129168928436"/>
        <n v="2.23107368128172"/>
        <n v="6.50754862107855"/>
        <n v="7.40675095299807"/>
        <n v="9.89814050806922"/>
        <n v="8.10097314539703"/>
        <n v="8.95452831531801"/>
        <n v="2.6796609649814"/>
        <n v="6.59910490123858"/>
        <n v="4.85827050343664"/>
        <n v="1.01948757082211"/>
        <n v="5.2881899903274"/>
        <n v="2.10795126715908"/>
        <n v="1.53265527359043"/>
        <n v="9.23593143724922"/>
        <n v="5.56250377883038"/>
        <n v="7.22959513973647"/>
        <n v="5.77326374376665"/>
        <n v="7.5262483268515"/>
        <n v="3.69402126838845"/>
        <n v="7.57744965737669"/>
        <n v="5.21515500871191"/>
        <n v="4.07095583708408"/>
        <n v="8.97875075594997"/>
        <n v="7.09583315655513"/>
        <n v="2.50562103290091"/>
        <n v="6.24786091497599"/>
        <n v="4.78300055794766"/>
        <n v="8.63105217976894"/>
        <n v="1.01348656609589"/>
        <n v="4.30510347128763"/>
        <n v="5.0143649550309"/>
        <n v="1.77442971407173"/>
        <n v="9.16055853538187"/>
        <n v="4.93843856471209"/>
        <n v="7.29372259686772"/>
        <n v="4.38136815810231"/>
        <n v="9.03034042252194"/>
        <n v="7.29170138877677"/>
        <n v="2.45793352798733"/>
        <n v="4.58535346819465"/>
        <n v="6.58054134788459"/>
        <n v="2.21614272877136"/>
        <n v="9.14781154471063"/>
        <n v="1.19425186488499"/>
        <n v="9.70528679012034"/>
        <n v="6.31571775460072"/>
        <n v="9.22819031705251"/>
        <n v="6.59961415968954"/>
        <n v="1.51293683691607"/>
        <n v="5.23765465003744"/>
        <n v="2.47389776104546"/>
        <n v="7.05453833683692"/>
        <n v="6.78094662561789"/>
        <n v="8.46704977086199"/>
        <n v="6.49632536429504"/>
        <n v="2.83318467941897"/>
        <n v="4.06627750151204"/>
        <n v="4.70818187354193"/>
        <n v="4.94983957799694"/>
        <n v="8.38161562492263"/>
        <n v="8.24916870487172"/>
        <n v="1.45430531015355"/>
        <n v="6.57580379754853"/>
        <n v="3.80125313293107"/>
        <n v="9.92981624527725"/>
        <n v="7.67443070811269"/>
        <n v="7.47151408440114"/>
        <n v="4.4695000261236"/>
        <n v="7.00643205900439"/>
        <n v="6.94294594203258"/>
        <n v="8.63033886960275"/>
        <n v="5.3528780439968"/>
        <n v="7.90484561120967"/>
        <n v="1.40980109513807"/>
        <n v="1.31102375612062"/>
      </sharedItems>
    </cacheField>
    <cacheField name="Supplier name" numFmtId="0">
      <sharedItems>
        <s v="Supplier 3"/>
        <s v="Supplier 1"/>
        <s v="Supplier 5"/>
        <s v="Supplier 4"/>
        <s v="Supplier 2"/>
      </sharedItems>
    </cacheField>
    <cacheField name="Location" numFmtId="0">
      <sharedItems>
        <s v="Mumbai"/>
        <s v="Kolkata"/>
        <s v="Delhi"/>
        <s v="Bangalore"/>
        <s v="Chennai"/>
      </sharedItems>
    </cacheField>
    <cacheField name="Lead time" numFmtId="0">
      <sharedItems containsSemiMixedTypes="0" containsString="0" containsNumber="1" containsInteger="1">
        <n v="29.0"/>
        <n v="23.0"/>
        <n v="12.0"/>
        <n v="24.0"/>
        <n v="5.0"/>
        <n v="10.0"/>
        <n v="14.0"/>
        <n v="22.0"/>
        <n v="13.0"/>
        <n v="18.0"/>
        <n v="28.0"/>
        <n v="3.0"/>
        <n v="25.0"/>
        <n v="7.0"/>
        <n v="20.0"/>
        <n v="19.0"/>
        <n v="11.0"/>
        <n v="26.0"/>
        <n v="16.0"/>
        <n v="27.0"/>
        <n v="30.0"/>
        <n v="1.0"/>
        <n v="4.0"/>
        <n v="9.0"/>
        <n v="21.0"/>
        <n v="17.0"/>
        <n v="2.0"/>
        <n v="8.0"/>
        <n v="6.0"/>
      </sharedItems>
    </cacheField>
    <cacheField name="Production volumes" numFmtId="0">
      <sharedItems containsSemiMixedTypes="0" containsString="0" containsNumber="1" containsInteger="1">
        <n v="215.0"/>
        <n v="517.0"/>
        <n v="971.0"/>
        <n v="937.0"/>
        <n v="414.0"/>
        <n v="104.0"/>
        <n v="314.0"/>
        <n v="564.0"/>
        <n v="769.0"/>
        <n v="963.0"/>
        <n v="830.0"/>
        <n v="362.0"/>
        <n v="563.0"/>
        <n v="173.0"/>
        <n v="558.0"/>
        <n v="580.0"/>
        <n v="399.0"/>
        <n v="453.0"/>
        <n v="374.0"/>
        <n v="694.0"/>
        <n v="309.0"/>
        <n v="791.0"/>
        <n v="780.0"/>
        <n v="568.0"/>
        <n v="447.0"/>
        <n v="934.0"/>
        <n v="171.0"/>
        <n v="291.0"/>
        <n v="329.0"/>
        <n v="806.0"/>
        <n v="461.0"/>
        <n v="737.0"/>
        <n v="251.0"/>
        <n v="452.0"/>
        <n v="367.0"/>
        <n v="671.0"/>
        <n v="867.0"/>
        <n v="841.0"/>
        <n v="793.0"/>
        <n v="892.0"/>
        <n v="179.0"/>
        <n v="206.0"/>
        <n v="834.0"/>
        <n v="794.0"/>
        <n v="870.0"/>
        <n v="964.0"/>
        <n v="109.0"/>
        <n v="177.0"/>
        <n v="306.0"/>
        <n v="673.0"/>
        <n v="727.0"/>
        <n v="631.0"/>
        <n v="497.0"/>
        <n v="918.0"/>
        <n v="826.0"/>
        <n v="588.0"/>
        <n v="396.0"/>
        <n v="176.0"/>
        <n v="929.0"/>
        <n v="480.0"/>
        <n v="751.0"/>
        <n v="736.0"/>
        <n v="328.0"/>
        <n v="358.0"/>
        <n v="198.0"/>
        <n v="375.0"/>
        <n v="862.0"/>
        <n v="775.0"/>
        <n v="258.0"/>
        <n v="152.0"/>
        <n v="444.0"/>
        <n v="919.0"/>
        <n v="759.0"/>
        <n v="985.0"/>
        <n v="334.0"/>
        <n v="858.0"/>
        <n v="228.0"/>
        <n v="202.0"/>
        <n v="698.0"/>
        <n v="955.0"/>
        <n v="443.0"/>
        <n v="589.0"/>
        <n v="211.0"/>
        <n v="569.0"/>
        <n v="523.0"/>
        <n v="953.0"/>
        <n v="370.0"/>
        <n v="585.0"/>
        <n v="207.0"/>
        <n v="824.0"/>
        <n v="908.0"/>
        <n v="450.0"/>
        <n v="648.0"/>
        <n v="535.0"/>
        <n v="581.0"/>
        <n v="921.0"/>
      </sharedItems>
    </cacheField>
    <cacheField name="Manufacturing lead time" numFmtId="0">
      <sharedItems containsSemiMixedTypes="0" containsString="0" containsNumber="1" containsInteger="1">
        <n v="29.0"/>
        <n v="30.0"/>
        <n v="27.0"/>
        <n v="18.0"/>
        <n v="3.0"/>
        <n v="17.0"/>
        <n v="24.0"/>
        <n v="1.0"/>
        <n v="8.0"/>
        <n v="23.0"/>
        <n v="5.0"/>
        <n v="11.0"/>
        <n v="10.0"/>
        <n v="14.0"/>
        <n v="7.0"/>
        <n v="21.0"/>
        <n v="16.0"/>
        <n v="6.0"/>
        <n v="4.0"/>
        <n v="28.0"/>
        <n v="2.0"/>
        <n v="19.0"/>
        <n v="15.0"/>
        <n v="12.0"/>
        <n v="25.0"/>
        <n v="20.0"/>
        <n v="9.0"/>
        <n v="26.0"/>
        <n v="22.0"/>
        <n v="13.0"/>
      </sharedItems>
    </cacheField>
    <cacheField name="Manufacturing costs" numFmtId="2">
      <sharedItems containsSemiMixedTypes="0" containsString="0" containsNumber="1">
        <n v="46.2798792405083"/>
        <n v="33.61676895373"/>
        <n v="30.6880193482842"/>
        <n v="35.624741397125"/>
        <n v="92.0651605987128"/>
        <n v="56.7664755574318"/>
        <n v="1.08506856958706"/>
        <n v="99.4661086035991"/>
        <n v="11.4230271395656"/>
        <n v="47.9576016349515"/>
        <n v="96.5273527853109"/>
        <n v="27.5923630866636"/>
        <n v="32.321286213424"/>
        <n v="97.8290501101732"/>
        <n v="5.79143662986298"/>
        <n v="97.1212817514743"/>
        <n v="77.10634249785"/>
        <n v="47.6796803683553"/>
        <n v="27.1079808548439"/>
        <n v="82.3733205879902"/>
        <n v="65.6862596084886"/>
        <n v="61.7357289541609"/>
        <n v="50.1208396129773"/>
        <n v="98.6099572427038"/>
        <n v="40.3823597029248"/>
        <n v="78.2803831184153"/>
        <n v="15.9722297571817"/>
        <n v="10.5282450700421"/>
        <n v="59.4293818106915"/>
        <n v="39.2928755860657"/>
        <n v="51.6348934001093"/>
        <n v="60.251145661598"/>
        <n v="29.6924671537497"/>
        <n v="23.8534275128961"/>
        <n v="10.7542728150293"/>
        <n v="58.0047870447437"/>
        <n v="45.5313642371621"/>
        <n v="34.3432774650753"/>
        <n v="5.93069364552831"/>
        <n v="9.00580742878164"/>
        <n v="88.1794071042174"/>
        <n v="95.3320645487725"/>
        <n v="96.4228206395718"/>
        <n v="26.2773659573324"/>
        <n v="22.5541066208877"/>
        <n v="66.3125444399916"/>
        <n v="77.3223532110516"/>
        <n v="19.7129929112936"/>
        <n v="23.1263635824647"/>
        <n v="14.1478154439792"/>
        <n v="45.1787579246345"/>
        <n v="14.1903283445699"/>
        <n v="9.16684914859715"/>
        <n v="83.3440589916779"/>
        <n v="30.1860233758225"/>
        <n v="30.3235452566165"/>
        <n v="12.8362845728327"/>
        <n v="67.7796229870781"/>
        <n v="65.0474150946914"/>
        <n v="1.90076224351945"/>
        <n v="87.2130578151356"/>
        <n v="78.7023939688789"/>
        <n v="21.0486427251686"/>
        <n v="20.0750039756304"/>
        <n v="8.69304242587728"/>
        <n v="1.59722274305067"/>
        <n v="42.0844367383099"/>
        <n v="7.05787614697823"/>
        <n v="97.1135815634622"/>
        <n v="77.6277658127481"/>
        <n v="11.4407818237612"/>
        <n v="30.6616774778595"/>
        <n v="55.7604928952442"/>
        <n v="46.8702387976171"/>
        <n v="80.5808521564478"/>
        <n v="48.0647826400065"/>
        <n v="64.3235977956002"/>
        <n v="42.9524447489918"/>
        <n v="71.1265147204033"/>
        <n v="57.8709029240362"/>
        <n v="76.96122802382"/>
        <n v="19.7895929419036"/>
        <n v="4.46527843494324"/>
        <n v="97.730593800533"/>
        <n v="33.808636513209"/>
        <n v="69.9293455186723"/>
        <n v="74.6089699951946"/>
        <n v="28.6969968241431"/>
        <n v="68.1849190570411"/>
        <n v="46.6038733816444"/>
        <n v="85.6759633357979"/>
        <n v="39.7728825023399"/>
        <n v="62.6126903956143"/>
        <n v="35.6336523433438"/>
        <n v="60.3873786148621"/>
        <n v="58.8906857685899"/>
        <n v="17.8037563313912"/>
        <n v="65.7651559263674"/>
        <n v="5.60469086437178"/>
        <n v="38.072898520626"/>
      </sharedItems>
    </cacheField>
    <cacheField name="Inspection results" numFmtId="0">
      <sharedItems>
        <s v="Pending"/>
        <s v="Fail"/>
        <s v="Pass"/>
      </sharedItems>
    </cacheField>
    <cacheField name="Defect rates" numFmtId="4">
      <sharedItems containsSemiMixedTypes="0" containsString="0" containsNumber="1">
        <n v="0.226410360849925"/>
        <n v="4.8540680263887"/>
        <n v="4.58059261919922"/>
        <n v="4.74664862064775"/>
        <n v="3.145579522833"/>
        <n v="2.77919351157116"/>
        <n v="1.00091061930413"/>
        <n v="0.39817718685065"/>
        <n v="2.70986269110996"/>
        <n v="3.84461447876758"/>
        <n v="1.72731392835594"/>
        <n v="0.0211698213729943"/>
        <n v="2.16125374755591"/>
        <n v="1.63107423007153"/>
        <n v="0.100682851565093"/>
        <n v="2.26440576119854"/>
        <n v="1.01256308925804"/>
        <n v="0.102020754918176"/>
        <n v="2.23193911072926"/>
        <n v="3.64645086541702"/>
        <n v="4.23141657353453"/>
        <n v="0.0186075676310149"/>
        <n v="2.59127547321111"/>
        <n v="1.34229156272273"/>
        <n v="3.69131029262872"/>
        <n v="3.79723121711418"/>
        <n v="2.11931973672492"/>
        <n v="2.86466783788337"/>
        <n v="0.815757079295672"/>
        <n v="3.87809893658848"/>
        <n v="0.965394705352393"/>
        <n v="2.98900000665507"/>
        <n v="1.94603611938611"/>
        <n v="3.54104601225092"/>
        <n v="0.646604559372054"/>
        <n v="0.541154098060581"/>
        <n v="3.80553337924335"/>
        <n v="2.61028808484811"/>
        <n v="0.613326899164507"/>
        <n v="1.45197220399681"/>
        <n v="4.21326943058656"/>
        <n v="0.0453022623982596"/>
        <n v="4.93925528862094"/>
        <n v="0.372304767985097"/>
        <n v="2.96262632045488"/>
        <n v="3.2196046120841"/>
        <n v="3.6486105925362"/>
        <n v="0.380573586713213"/>
        <n v="1.6981125407144"/>
        <n v="2.82581398540013"/>
        <n v="4.75480080467118"/>
        <n v="1.77295117208355"/>
        <n v="2.12247161914382"/>
        <n v="1.41034757607602"/>
        <n v="2.47877197553974"/>
        <n v="4.54891965939638"/>
        <n v="1.17375549538745"/>
        <n v="2.5111748302127"/>
        <n v="1.73037471985919"/>
        <n v="0.447194015463823"/>
        <n v="2.85309061664905"/>
        <n v="4.36747053820505"/>
        <n v="1.87400140404437"/>
        <n v="3.63284329038213"/>
        <n v="0.159486314717514"/>
        <n v="4.91109595484233"/>
        <n v="3.44806328834026"/>
        <n v="0.131955444311814"/>
        <n v="1.98346787217418"/>
        <n v="1.3623879886491"/>
        <n v="1.83057559861223"/>
        <n v="2.07875060787496"/>
        <n v="3.2133296074383"/>
        <n v="4.6205460645137"/>
        <n v="0.396612724109935"/>
        <n v="2.03006908866875"/>
        <n v="2.18003745158221"/>
        <n v="3.05514181830754"/>
        <n v="4.09688133247045"/>
        <n v="0.165871627480608"/>
        <n v="2.84966219850533"/>
        <n v="2.54754712154871"/>
        <n v="4.13787704862235"/>
        <n v="0.773006134067247"/>
        <n v="4.84345657711804"/>
        <n v="1.37442899974575"/>
        <n v="2.05151293076624"/>
        <n v="3.69373778783927"/>
        <n v="0.722204401882931"/>
        <n v="1.90766573395907"/>
        <n v="1.21938222440138"/>
        <n v="0.626001858209394"/>
        <n v="0.333431825224739"/>
        <n v="4.16578179542414"/>
        <n v="1.46360749847277"/>
        <n v="1.21088212958506"/>
        <n v="3.87204768148213"/>
        <n v="3.37623783471798"/>
        <n v="2.90812216935126"/>
        <n v="0.346027290705503"/>
      </sharedItems>
    </cacheField>
    <cacheField name="Transportation modes" numFmtId="0">
      <sharedItems>
        <s v="Road"/>
        <s v="Air"/>
        <s v="Rail"/>
        <s v="Sea"/>
      </sharedItems>
    </cacheField>
    <cacheField name="Routes" numFmtId="0">
      <sharedItems>
        <s v="Route B"/>
        <s v="Route C"/>
        <s v="Route A"/>
      </sharedItems>
    </cacheField>
    <cacheField name="Costs" numFmtId="2">
      <sharedItems containsSemiMixedTypes="0" containsString="0" containsNumber="1">
        <n v="187.752075459203"/>
        <n v="503.065579149669"/>
        <n v="141.920281771519"/>
        <n v="254.776159219286"/>
        <n v="923.440631711922"/>
        <n v="235.461236735537"/>
        <n v="134.369096861031"/>
        <n v="802.056311817558"/>
        <n v="505.557134225464"/>
        <n v="995.929461498641"/>
        <n v="806.103177702923"/>
        <n v="126.723033409407"/>
        <n v="402.96878907377"/>
        <n v="547.241005160968"/>
        <n v="929.235289960889"/>
        <n v="127.861800001625"/>
        <n v="865.52577977124"/>
        <n v="670.93439079241"/>
        <n v="593.480258720651"/>
        <n v="477.307631090903"/>
        <n v="493.871215316205"/>
        <n v="523.360914720158"/>
        <n v="205.571995826947"/>
        <n v="196.329446112412"/>
        <n v="758.724772602938"/>
        <n v="458.535945739209"/>
        <n v="617.866916458377"/>
        <n v="762.459182155683"/>
        <n v="123.437027511827"/>
        <n v="764.935375940708"/>
        <n v="880.080988247161"/>
        <n v="609.379206618426"/>
        <n v="761.173909514877"/>
        <n v="371.255295519871"/>
        <n v="510.358000433523"/>
        <n v="553.420471230355"/>
        <n v="403.80897424818"/>
        <n v="183.932968043594"/>
        <n v="339.672869948606"/>
        <n v="653.672994552033"/>
        <n v="529.808723980691"/>
        <n v="275.524371131309"/>
        <n v="635.657120501991"/>
        <n v="716.04411975934"/>
        <n v="610.453269619227"/>
        <n v="495.305697028473"/>
        <n v="380.435937111964"/>
        <n v="581.602355050586"/>
        <n v="768.65191395437"/>
        <n v="336.890168519977"/>
        <n v="496.24865029194"/>
        <n v="694.982317579445"/>
        <n v="602.898498838383"/>
        <n v="750.73784066827"/>
        <n v="814.069996582187"/>
        <n v="323.012927952478"/>
        <n v="832.210808706021"/>
        <n v="482.191238602528"/>
        <n v="110.364335231364"/>
        <n v="312.574273610093"/>
        <n v="430.169096975136"/>
        <n v="164.366528243419"/>
        <n v="320.846515759111"/>
        <n v="687.286177866417"/>
        <n v="771.225084681157"/>
        <n v="555.859103671743"/>
        <n v="393.843348578427"/>
        <n v="169.271801384786"/>
        <n v="299.706303118103"/>
        <n v="207.663206208575"/>
        <n v="183.272898748711"/>
        <n v="405.167067888855"/>
        <n v="677.944569846183"/>
        <n v="866.472800129657"/>
        <n v="341.552656783223"/>
        <n v="873.129648017651"/>
        <n v="997.413450133194"/>
        <n v="852.56809891985"/>
        <n v="323.592203431322"/>
        <n v="351.504219335038"/>
        <n v="787.779850494344"/>
        <n v="276.778335946798"/>
        <n v="589.97855562804"/>
        <n v="682.971018226093"/>
        <n v="465.457005963687"/>
        <n v="842.686830004641"/>
        <n v="264.254889835866"/>
        <n v="879.359217734924"/>
        <n v="103.916247960704"/>
        <n v="517.49997392906"/>
        <n v="990.078472505811"/>
        <n v="996.778314950623"/>
        <n v="230.092782536762"/>
        <n v="823.523845888155"/>
        <n v="846.665256986694"/>
        <n v="778.864241376647"/>
        <n v="188.742141149056"/>
        <n v="540.132422867967"/>
        <n v="882.198863547041"/>
        <n v="210.743008964246"/>
      </sharedItems>
    </cacheField>
    <cacheField name="inventory value" numFmtId="2">
      <sharedItems containsSemiMixedTypes="0" containsString="0" containsNumber="1">
        <n v="4048.86432144271"/>
        <n v="786.7067335794678"/>
        <n v="11.3196832930905"/>
        <n v="1406.7568893780672"/>
        <n v="24.027480181729448"/>
        <n v="152.99784124793368"/>
        <n v="44.861661494187345"/>
        <n v="3995.1297475687797"/>
        <n v="343.5879837426365"/>
        <n v="896.220261177899"/>
        <n v="801.097579777517"/>
        <n v="4169.231159185275"/>
        <n v="7121.338907536"/>
        <n v="1292.831465390392"/>
        <n v="5355.251746485702"/>
        <n v="332.90320435764215"/>
        <n v="15.09434421958254"/>
        <n v="3665.814046615665"/>
        <n v="364.436277704609"/>
        <n v="2453.9457642223056"/>
        <n v="2601.208955879009"/>
        <n v="5857.6769599616055"/>
        <n v="1965.2644429416348"/>
        <n v="363.24465961258943"/>
        <n v="16.6252334372444"/>
        <n v="3249.6062067775933"/>
        <n v="5749.369850455676"/>
        <n v="4350.195958182894"/>
        <n v="115.06918586866273"/>
        <n v="2855.1401633343285"/>
        <n v="481.37155263158337"/>
        <n v="305.08435831031215"/>
        <n v="7049.684305393446"/>
        <n v="259.1817400006224"/>
        <n v="37.4675923298424"/>
        <n v="3568.2270462867173"/>
        <n v="176.6340464175729"/>
        <n v="584.9961188153575"/>
        <n v="3593.239217106838"/>
        <n v="1491.9432267342095"/>
        <n v="7248.728175384627"/>
        <n v="6343.250663380294"/>
        <n v="1023.6416875193675"/>
        <n v="422.7577839471312"/>
        <n v="667.6252818704338"/>
        <n v="3141.9248370750915"/>
        <n v="2491.5630623897787"/>
        <n v="382.848543523744"/>
        <n v="2281.0663328067512"/>
        <n v="7653.097580947079"/>
        <n v="440.308012208893"/>
        <n v="2670.0760972461703"/>
        <n v="6274.03709801376"/>
        <n v="2912.781188276563"/>
        <n v="1027.8260242879464"/>
        <n v="7745.940659056571"/>
        <n v="524.6596509260825"/>
        <n v="246.31602675367049"/>
        <n v="598.415613772893"/>
        <n v="6382.83983477109"/>
        <n v="698.1491447277366"/>
        <n v="1664.9199969054368"/>
        <n v="6260.486440180508"/>
        <n v="702.9383464055412"/>
        <n v="6543.288979393877"/>
        <n v="1920.7698807786567"/>
        <n v="338.453307061506"/>
        <n v="1053.065188248012"/>
        <n v="0.0"/>
        <n v="5212.225209121621"/>
        <n v="479.145418240587"/>
        <n v="484.996520368845"/>
        <n v="5141.652368670096"/>
        <n v="1425.4673005821783"/>
        <n v="129.97046795621213"/>
        <n v="1487.9501477435297"/>
        <n v="2626.134382802351"/>
        <n v="5515.175324061254"/>
        <n v="31.53441588055955"/>
        <n v="1768.7679678541992"/>
        <n v="3554.004415667328"/>
        <n v="3495.3219326552735"/>
        <n v="715.4670910576518"/>
        <n v="4479.231003754409"/>
        <n v="6504.618812323461"/>
        <n v="1154.444916227907"/>
        <n v="639.9416620929344"/>
        <n v="402.0701832517785"/>
        <n v="4516.224418543499"/>
        <n v="8798.407702374474"/>
        <n v="916.2062910897007"/>
        <n v="6086.972615468247"/>
        <n v="4294.280976823818"/>
        <n v="4365.322353183041"/>
        <n v="233.9020317966186"/>
        <n v="1168.5589082917154"/>
        <n v="1636.349805165011"/>
        <n v="162.20111792059686"/>
        <n v="1046.9940579445658"/>
        <n v="3768.480798460213"/>
      </sharedItems>
    </cacheField>
    <cacheField name="lead time category" numFmtId="0">
      <sharedItems>
        <s v="Medium"/>
        <s v="Slow"/>
        <s v="Fast"/>
      </sharedItems>
    </cacheField>
    <cacheField name="shipping delay flags" numFmtId="0">
      <sharedItems>
        <s v="On Time"/>
        <s v="Delayed"/>
      </sharedItems>
    </cacheField>
    <cacheField name="defect category" numFmtId="0">
      <sharedItems>
        <s v="Low"/>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Pivot tables" cacheId="0" dataCaption="" compact="0" compactData="0">
  <location ref="A1:B5" firstHeaderRow="0" firstDataRow="1" firstDataCol="0"/>
  <pivotFields>
    <pivotField name="Product type" axis="axisRow" compact="0" outline="0" multipleItemSelectionAllowed="1" showAll="0" sortType="ascending">
      <items>
        <item x="2"/>
        <item x="0"/>
        <item x="1"/>
        <item t="default"/>
      </items>
    </pivotField>
    <pivotField name="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Number of produc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Revenue generated"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ustomer demographics" compact="0" outline="0" multipleItemSelectionAllowed="1" showAll="0">
      <items>
        <item x="0"/>
        <item x="1"/>
        <item x="2"/>
        <item x="3"/>
        <item t="default"/>
      </items>
    </pivotField>
    <pivotField name="Stock leve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ead ti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der quant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hipping times" compact="0" outline="0" multipleItemSelectionAllowed="1" showAll="0">
      <items>
        <item x="0"/>
        <item x="1"/>
        <item x="2"/>
        <item x="3"/>
        <item x="4"/>
        <item x="5"/>
        <item x="6"/>
        <item x="7"/>
        <item x="8"/>
        <item x="9"/>
        <item t="default"/>
      </items>
    </pivotField>
    <pivotField name="Shipping carriers" compact="0" outline="0" multipleItemSelectionAllowed="1" showAll="0">
      <items>
        <item x="0"/>
        <item x="1"/>
        <item x="2"/>
        <item t="default"/>
      </items>
    </pivotField>
    <pivotField name="Shipp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upplier name" compact="0" outline="0" multipleItemSelectionAllowed="1" showAll="0">
      <items>
        <item x="0"/>
        <item x="1"/>
        <item x="2"/>
        <item x="3"/>
        <item x="4"/>
        <item t="default"/>
      </items>
    </pivotField>
    <pivotField name="Location" compact="0" outline="0" multipleItemSelectionAllowed="1" showAll="0">
      <items>
        <item x="0"/>
        <item x="1"/>
        <item x="2"/>
        <item x="3"/>
        <item x="4"/>
        <item t="default"/>
      </items>
    </pivotField>
    <pivotField name="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roduction volu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anufacturing 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ufactur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pection results" compact="0" outline="0" multipleItemSelectionAllowed="1" showAll="0">
      <items>
        <item x="0"/>
        <item x="1"/>
        <item x="2"/>
        <item t="default"/>
      </items>
    </pivotField>
    <pivotField name="Defect ra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ransportation modes" compact="0" outline="0" multipleItemSelectionAllowed="1" showAll="0">
      <items>
        <item x="0"/>
        <item x="1"/>
        <item x="2"/>
        <item x="3"/>
        <item t="default"/>
      </items>
    </pivotField>
    <pivotField name="Routes" compact="0" outline="0" multipleItemSelectionAllowed="1" showAll="0">
      <items>
        <item x="0"/>
        <item x="1"/>
        <item x="2"/>
        <item t="default"/>
      </items>
    </pivotField>
    <pivotField name="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ventory valu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lead time category" compact="0" outline="0" multipleItemSelectionAllowed="1" showAll="0">
      <items>
        <item x="0"/>
        <item x="1"/>
        <item x="2"/>
        <item t="default"/>
      </items>
    </pivotField>
    <pivotField name="shipping delay flags" compact="0" outline="0" multipleItemSelectionAllowed="1" showAll="0">
      <items>
        <item x="0"/>
        <item x="1"/>
        <item t="default"/>
      </items>
    </pivotField>
    <pivotField name="defect category" compact="0" outline="0" multipleItemSelectionAllowed="1" showAll="0">
      <items>
        <item x="0"/>
        <item t="default"/>
      </items>
    </pivotField>
  </pivotFields>
  <rowFields>
    <field x="0"/>
  </rowFields>
  <dataFields>
    <dataField name="SUM of Revenue generated" fld="5" baseField="0"/>
  </dataFields>
</pivotTableDefinition>
</file>

<file path=xl/pivotTables/pivotTable2.xml><?xml version="1.0" encoding="utf-8"?>
<pivotTableDefinition xmlns="http://schemas.openxmlformats.org/spreadsheetml/2006/main" name="KPI Pivot tables 2" cacheId="0" dataCaption="" compact="0" compactData="0">
  <location ref="D1:E7" firstHeaderRow="0" firstDataRow="1" firstDataCol="0"/>
  <pivotFields>
    <pivotField name="Product type" compact="0" outline="0" multipleItemSelectionAllowed="1" showAll="0">
      <items>
        <item x="0"/>
        <item x="1"/>
        <item x="2"/>
        <item t="default"/>
      </items>
    </pivotField>
    <pivotField name="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Number of produc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Revenue generate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ustomer demographics" compact="0" outline="0" multipleItemSelectionAllowed="1" showAll="0">
      <items>
        <item x="0"/>
        <item x="1"/>
        <item x="2"/>
        <item x="3"/>
        <item t="default"/>
      </items>
    </pivotField>
    <pivotField name="Stock leve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ead ti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der quant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hipping times" compact="0" outline="0" multipleItemSelectionAllowed="1" showAll="0">
      <items>
        <item x="0"/>
        <item x="1"/>
        <item x="2"/>
        <item x="3"/>
        <item x="4"/>
        <item x="5"/>
        <item x="6"/>
        <item x="7"/>
        <item x="8"/>
        <item x="9"/>
        <item t="default"/>
      </items>
    </pivotField>
    <pivotField name="Shipping carriers" compact="0" outline="0" multipleItemSelectionAllowed="1" showAll="0">
      <items>
        <item x="0"/>
        <item x="1"/>
        <item x="2"/>
        <item t="default"/>
      </items>
    </pivotField>
    <pivotField name="Shipp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upplier name" axis="axisRow" compact="0" outline="0" multipleItemSelectionAllowed="1" showAll="0" sortType="ascending">
      <items>
        <item x="1"/>
        <item x="4"/>
        <item x="0"/>
        <item x="3"/>
        <item x="2"/>
        <item t="default"/>
      </items>
    </pivotField>
    <pivotField name="Location" compact="0" outline="0" multipleItemSelectionAllowed="1" showAll="0">
      <items>
        <item x="0"/>
        <item x="1"/>
        <item x="2"/>
        <item x="3"/>
        <item x="4"/>
        <item t="default"/>
      </items>
    </pivotField>
    <pivotField name="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roduction volu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anufacturing 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ufactur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pection results" compact="0" outline="0" multipleItemSelectionAllowed="1" showAll="0">
      <items>
        <item x="0"/>
        <item x="1"/>
        <item x="2"/>
        <item t="default"/>
      </items>
    </pivotField>
    <pivotField name="Defect ra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ransportation modes" compact="0" outline="0" multipleItemSelectionAllowed="1" showAll="0">
      <items>
        <item x="0"/>
        <item x="1"/>
        <item x="2"/>
        <item x="3"/>
        <item t="default"/>
      </items>
    </pivotField>
    <pivotField name="Routes" compact="0" outline="0" multipleItemSelectionAllowed="1" showAll="0">
      <items>
        <item x="0"/>
        <item x="1"/>
        <item x="2"/>
        <item t="default"/>
      </items>
    </pivotField>
    <pivotField name="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ventory value"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lead time category" compact="0" outline="0" multipleItemSelectionAllowed="1" showAll="0">
      <items>
        <item x="0"/>
        <item x="1"/>
        <item x="2"/>
        <item t="default"/>
      </items>
    </pivotField>
    <pivotField name="shipping delay flags" compact="0" outline="0" multipleItemSelectionAllowed="1" showAll="0">
      <items>
        <item x="0"/>
        <item x="1"/>
        <item t="default"/>
      </items>
    </pivotField>
    <pivotField name="defect category" compact="0" outline="0" multipleItemSelectionAllowed="1" showAll="0">
      <items>
        <item x="0"/>
        <item t="default"/>
      </items>
    </pivotField>
  </pivotFields>
  <rowFields>
    <field x="13"/>
  </rowFields>
  <dataFields>
    <dataField name="SUM of inventory value" fld="24" baseField="0"/>
  </dataFields>
</pivotTableDefinition>
</file>

<file path=xl/pivotTables/pivotTable3.xml><?xml version="1.0" encoding="utf-8"?>
<pivotTableDefinition xmlns="http://schemas.openxmlformats.org/spreadsheetml/2006/main" name="KPI Pivot tables 3" cacheId="0" dataCaption="" compact="0" compactData="0">
  <location ref="G1:H7" firstHeaderRow="0" firstDataRow="1" firstDataCol="0"/>
  <pivotFields>
    <pivotField name="Product type" compact="0" outline="0" multipleItemSelectionAllowed="1" showAll="0">
      <items>
        <item x="0"/>
        <item x="1"/>
        <item x="2"/>
        <item t="default"/>
      </items>
    </pivotField>
    <pivotField name="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Number of produc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Revenue generate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ustomer demographics" compact="0" outline="0" multipleItemSelectionAllowed="1" showAll="0">
      <items>
        <item x="0"/>
        <item x="1"/>
        <item x="2"/>
        <item x="3"/>
        <item t="default"/>
      </items>
    </pivotField>
    <pivotField name="Stock leve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ead ti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der quant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hipping times" compact="0" outline="0" multipleItemSelectionAllowed="1" showAll="0">
      <items>
        <item x="0"/>
        <item x="1"/>
        <item x="2"/>
        <item x="3"/>
        <item x="4"/>
        <item x="5"/>
        <item x="6"/>
        <item x="7"/>
        <item x="8"/>
        <item x="9"/>
        <item t="default"/>
      </items>
    </pivotField>
    <pivotField name="Shipping carriers" compact="0" outline="0" multipleItemSelectionAllowed="1" showAll="0">
      <items>
        <item x="0"/>
        <item x="1"/>
        <item x="2"/>
        <item t="default"/>
      </items>
    </pivotField>
    <pivotField name="Shipp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upplier name" axis="axisRow" compact="0" outline="0" multipleItemSelectionAllowed="1" showAll="0" sortType="ascending">
      <items>
        <item x="1"/>
        <item x="4"/>
        <item x="0"/>
        <item x="3"/>
        <item x="2"/>
        <item t="default"/>
      </items>
    </pivotField>
    <pivotField name="Location" compact="0" outline="0" multipleItemSelectionAllowed="1" showAll="0">
      <items>
        <item x="0"/>
        <item x="1"/>
        <item x="2"/>
        <item x="3"/>
        <item x="4"/>
        <item t="default"/>
      </items>
    </pivotField>
    <pivotField name="Lead ti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roduction volu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anufacturing 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ufactur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pection results" compact="0" outline="0" multipleItemSelectionAllowed="1" showAll="0">
      <items>
        <item x="0"/>
        <item x="1"/>
        <item x="2"/>
        <item t="default"/>
      </items>
    </pivotField>
    <pivotField name="Defect ra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ransportation modes" compact="0" outline="0" multipleItemSelectionAllowed="1" showAll="0">
      <items>
        <item x="0"/>
        <item x="1"/>
        <item x="2"/>
        <item x="3"/>
        <item t="default"/>
      </items>
    </pivotField>
    <pivotField name="Routes" compact="0" outline="0" multipleItemSelectionAllowed="1" showAll="0">
      <items>
        <item x="0"/>
        <item x="1"/>
        <item x="2"/>
        <item t="default"/>
      </items>
    </pivotField>
    <pivotField name="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ventory valu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lead time category" compact="0" outline="0" multipleItemSelectionAllowed="1" showAll="0">
      <items>
        <item x="0"/>
        <item x="1"/>
        <item x="2"/>
        <item t="default"/>
      </items>
    </pivotField>
    <pivotField name="shipping delay flags" compact="0" outline="0" multipleItemSelectionAllowed="1" showAll="0">
      <items>
        <item x="0"/>
        <item x="1"/>
        <item t="default"/>
      </items>
    </pivotField>
    <pivotField name="defect category" compact="0" outline="0" multipleItemSelectionAllowed="1" showAll="0">
      <items>
        <item x="0"/>
        <item t="default"/>
      </items>
    </pivotField>
  </pivotFields>
  <rowFields>
    <field x="13"/>
  </rowFields>
  <dataFields>
    <dataField name="AVERAGE of Lead time" fld="15" subtotal="average" baseField="0"/>
  </dataFields>
</pivotTableDefinition>
</file>

<file path=xl/pivotTables/pivotTable4.xml><?xml version="1.0" encoding="utf-8"?>
<pivotTableDefinition xmlns="http://schemas.openxmlformats.org/spreadsheetml/2006/main" name="KPI Pivot tables 4" cacheId="0" dataCaption="" compact="0" compactData="0">
  <location ref="C10:D16" firstHeaderRow="0" firstDataRow="1" firstDataCol="0"/>
  <pivotFields>
    <pivotField name="Product type" compact="0" outline="0" multipleItemSelectionAllowed="1" showAll="0">
      <items>
        <item x="0"/>
        <item x="1"/>
        <item x="2"/>
        <item t="default"/>
      </items>
    </pivotField>
    <pivotField name="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Number of produc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Revenue generate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ustomer demographics" compact="0" outline="0" multipleItemSelectionAllowed="1" showAll="0">
      <items>
        <item x="0"/>
        <item x="1"/>
        <item x="2"/>
        <item x="3"/>
        <item t="default"/>
      </items>
    </pivotField>
    <pivotField name="Stock leve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ead ti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der quant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hipping times" compact="0" outline="0" multipleItemSelectionAllowed="1" showAll="0">
      <items>
        <item x="0"/>
        <item x="1"/>
        <item x="2"/>
        <item x="3"/>
        <item x="4"/>
        <item x="5"/>
        <item x="6"/>
        <item x="7"/>
        <item x="8"/>
        <item x="9"/>
        <item t="default"/>
      </items>
    </pivotField>
    <pivotField name="Shipping carriers" compact="0" outline="0" multipleItemSelectionAllowed="1" showAll="0">
      <items>
        <item x="0"/>
        <item x="1"/>
        <item x="2"/>
        <item t="default"/>
      </items>
    </pivotField>
    <pivotField name="Shipp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upplier name" axis="axisRow" compact="0" outline="0" multipleItemSelectionAllowed="1" showAll="0" sortType="ascending">
      <items>
        <item x="1"/>
        <item x="4"/>
        <item x="0"/>
        <item x="3"/>
        <item x="2"/>
        <item t="default"/>
      </items>
    </pivotField>
    <pivotField name="Location" compact="0" outline="0" multipleItemSelectionAllowed="1" showAll="0">
      <items>
        <item x="0"/>
        <item x="1"/>
        <item x="2"/>
        <item x="3"/>
        <item x="4"/>
        <item t="default"/>
      </items>
    </pivotField>
    <pivotField name="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roduction volu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anufacturing 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ufactur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pection results" compact="0" outline="0" multipleItemSelectionAllowed="1" showAll="0">
      <items>
        <item x="0"/>
        <item x="1"/>
        <item x="2"/>
        <item t="default"/>
      </items>
    </pivotField>
    <pivotField name="Defect rat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ransportation modes" compact="0" outline="0" multipleItemSelectionAllowed="1" showAll="0">
      <items>
        <item x="0"/>
        <item x="1"/>
        <item x="2"/>
        <item x="3"/>
        <item t="default"/>
      </items>
    </pivotField>
    <pivotField name="Routes" compact="0" outline="0" multipleItemSelectionAllowed="1" showAll="0">
      <items>
        <item x="0"/>
        <item x="1"/>
        <item x="2"/>
        <item t="default"/>
      </items>
    </pivotField>
    <pivotField name="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ventory valu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lead time category" compact="0" outline="0" multipleItemSelectionAllowed="1" showAll="0">
      <items>
        <item x="0"/>
        <item x="1"/>
        <item x="2"/>
        <item t="default"/>
      </items>
    </pivotField>
    <pivotField name="shipping delay flags" compact="0" outline="0" multipleItemSelectionAllowed="1" showAll="0">
      <items>
        <item x="0"/>
        <item x="1"/>
        <item t="default"/>
      </items>
    </pivotField>
    <pivotField name="defect category" compact="0" outline="0" multipleItemSelectionAllowed="1" showAll="0">
      <items>
        <item x="0"/>
        <item t="default"/>
      </items>
    </pivotField>
  </pivotFields>
  <rowFields>
    <field x="13"/>
  </rowFields>
  <dataFields>
    <dataField name="AVERAGE of Defect rates" fld="20" subtotal="average" baseField="0"/>
  </dataFields>
</pivotTableDefinition>
</file>

<file path=xl/pivotTables/pivotTable5.xml><?xml version="1.0" encoding="utf-8"?>
<pivotTableDefinition xmlns="http://schemas.openxmlformats.org/spreadsheetml/2006/main" name="KPI Pivot tables 5" cacheId="0" dataCaption="" compact="0" compactData="0">
  <location ref="F10:G14" firstHeaderRow="0" firstDataRow="1" firstDataCol="0"/>
  <pivotFields>
    <pivotField name="Product type" compact="0" outline="0" multipleItemSelectionAllowed="1" showAll="0">
      <items>
        <item x="0"/>
        <item x="1"/>
        <item x="2"/>
        <item t="default"/>
      </items>
    </pivotField>
    <pivotField name="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Number of produc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Revenue generate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ustomer demographics" compact="0" outline="0" multipleItemSelectionAllowed="1" showAll="0">
      <items>
        <item x="0"/>
        <item x="1"/>
        <item x="2"/>
        <item x="3"/>
        <item t="default"/>
      </items>
    </pivotField>
    <pivotField name="Stock leve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ead ti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der quant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hipping times" dataField="1" compact="0" outline="0" multipleItemSelectionAllowed="1" showAll="0">
      <items>
        <item x="0"/>
        <item x="1"/>
        <item x="2"/>
        <item x="3"/>
        <item x="4"/>
        <item x="5"/>
        <item x="6"/>
        <item x="7"/>
        <item x="8"/>
        <item x="9"/>
        <item t="default"/>
      </items>
    </pivotField>
    <pivotField name="Shipping carriers" axis="axisRow" compact="0" outline="0" multipleItemSelectionAllowed="1" showAll="0" sortType="ascending">
      <items>
        <item x="1"/>
        <item x="0"/>
        <item x="2"/>
        <item t="default"/>
      </items>
    </pivotField>
    <pivotField name="Shipp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upplier name" compact="0" outline="0" multipleItemSelectionAllowed="1" showAll="0">
      <items>
        <item x="0"/>
        <item x="1"/>
        <item x="2"/>
        <item x="3"/>
        <item x="4"/>
        <item t="default"/>
      </items>
    </pivotField>
    <pivotField name="Location" compact="0" outline="0" multipleItemSelectionAllowed="1" showAll="0">
      <items>
        <item x="0"/>
        <item x="1"/>
        <item x="2"/>
        <item x="3"/>
        <item x="4"/>
        <item t="default"/>
      </items>
    </pivotField>
    <pivotField name="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roduction volu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anufacturing 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ufactur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pection results" compact="0" outline="0" multipleItemSelectionAllowed="1" showAll="0">
      <items>
        <item x="0"/>
        <item x="1"/>
        <item x="2"/>
        <item t="default"/>
      </items>
    </pivotField>
    <pivotField name="Defect ra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ransportation modes" compact="0" outline="0" multipleItemSelectionAllowed="1" showAll="0">
      <items>
        <item x="0"/>
        <item x="1"/>
        <item x="2"/>
        <item x="3"/>
        <item t="default"/>
      </items>
    </pivotField>
    <pivotField name="Routes" compact="0" outline="0" multipleItemSelectionAllowed="1" showAll="0">
      <items>
        <item x="0"/>
        <item x="1"/>
        <item x="2"/>
        <item t="default"/>
      </items>
    </pivotField>
    <pivotField name="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ventory valu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lead time category" compact="0" outline="0" multipleItemSelectionAllowed="1" showAll="0">
      <items>
        <item x="0"/>
        <item x="1"/>
        <item x="2"/>
        <item t="default"/>
      </items>
    </pivotField>
    <pivotField name="shipping delay flags" compact="0" outline="0" multipleItemSelectionAllowed="1" showAll="0">
      <items>
        <item x="0"/>
        <item x="1"/>
        <item t="default"/>
      </items>
    </pivotField>
    <pivotField name="defect category" compact="0" outline="0" multipleItemSelectionAllowed="1" showAll="0">
      <items>
        <item x="0"/>
        <item t="default"/>
      </items>
    </pivotField>
  </pivotFields>
  <rowFields>
    <field x="11"/>
  </rowFields>
  <dataFields>
    <dataField name="AVERAGE of Shipping times" fld="10" subtotal="average" baseField="0"/>
  </dataFields>
</pivotTableDefinition>
</file>

<file path=xl/pivotTables/pivotTable6.xml><?xml version="1.0" encoding="utf-8"?>
<pivotTableDefinition xmlns="http://schemas.openxmlformats.org/spreadsheetml/2006/main" name="KPI Pivot tables 6" cacheId="0" dataCaption="" compact="0" compactData="0">
  <location ref="A18:B119" firstHeaderRow="0" firstDataRow="1" firstDataCol="0"/>
  <pivotFields>
    <pivotField name="Product type" compact="0" outline="0" multipleItemSelectionAllowed="1" showAll="0">
      <items>
        <item x="0"/>
        <item x="1"/>
        <item x="2"/>
        <item t="default"/>
      </items>
    </pivotField>
    <pivotField name="SKU" axis="axisRow" compact="0" outline="0" multipleItemSelectionAllowed="1" showAll="0" sortType="descending">
      <items>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Number of produc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Revenue generate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ustomer demographics" compact="0" outline="0" multipleItemSelectionAllowed="1" showAll="0">
      <items>
        <item x="0"/>
        <item x="1"/>
        <item x="2"/>
        <item x="3"/>
        <item t="default"/>
      </items>
    </pivotField>
    <pivotField name="Stock leve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ead ti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der quant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hipping times" compact="0" outline="0" multipleItemSelectionAllowed="1" showAll="0">
      <items>
        <item x="0"/>
        <item x="1"/>
        <item x="2"/>
        <item x="3"/>
        <item x="4"/>
        <item x="5"/>
        <item x="6"/>
        <item x="7"/>
        <item x="8"/>
        <item x="9"/>
        <item t="default"/>
      </items>
    </pivotField>
    <pivotField name="Shipping carriers" compact="0" outline="0" multipleItemSelectionAllowed="1" showAll="0">
      <items>
        <item x="0"/>
        <item x="1"/>
        <item x="2"/>
        <item t="default"/>
      </items>
    </pivotField>
    <pivotField name="Shipp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upplier name" compact="0" outline="0" multipleItemSelectionAllowed="1" showAll="0">
      <items>
        <item x="0"/>
        <item x="1"/>
        <item x="2"/>
        <item x="3"/>
        <item x="4"/>
        <item t="default"/>
      </items>
    </pivotField>
    <pivotField name="Location" compact="0" outline="0" multipleItemSelectionAllowed="1" showAll="0">
      <items>
        <item x="0"/>
        <item x="1"/>
        <item x="2"/>
        <item x="3"/>
        <item x="4"/>
        <item t="default"/>
      </items>
    </pivotField>
    <pivotField name="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roduction volu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anufacturing 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ufactur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pection results" compact="0" outline="0" multipleItemSelectionAllowed="1" showAll="0">
      <items>
        <item x="0"/>
        <item x="1"/>
        <item x="2"/>
        <item t="default"/>
      </items>
    </pivotField>
    <pivotField name="Defect ra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ransportation modes" compact="0" outline="0" multipleItemSelectionAllowed="1" showAll="0">
      <items>
        <item x="0"/>
        <item x="1"/>
        <item x="2"/>
        <item x="3"/>
        <item t="default"/>
      </items>
    </pivotField>
    <pivotField name="Routes" compact="0" outline="0" multipleItemSelectionAllowed="1" showAll="0">
      <items>
        <item x="0"/>
        <item x="1"/>
        <item x="2"/>
        <item t="default"/>
      </items>
    </pivotField>
    <pivotField name="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ventory valu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lead time category" compact="0" outline="0" multipleItemSelectionAllowed="1" showAll="0">
      <items>
        <item x="0"/>
        <item x="1"/>
        <item x="2"/>
        <item t="default"/>
      </items>
    </pivotField>
    <pivotField name="shipping delay flags" compact="0" outline="0" multipleItemSelectionAllowed="1" showAll="0">
      <items>
        <item x="0"/>
        <item x="1"/>
        <item t="default"/>
      </items>
    </pivotField>
    <pivotField name="defect category" compact="0" outline="0" multipleItemSelectionAllowed="1" showAll="0">
      <items>
        <item x="0"/>
        <item t="default"/>
      </items>
    </pivotField>
  </pivotFields>
  <rowFields>
    <field x="1"/>
  </rowFields>
  <dataFields>
    <dataField name="SUM of Stock levels" fld="7" baseField="0"/>
  </dataFields>
</pivotTableDefinition>
</file>

<file path=xl/pivotTables/pivotTable7.xml><?xml version="1.0" encoding="utf-8"?>
<pivotTableDefinition xmlns="http://schemas.openxmlformats.org/spreadsheetml/2006/main" name="KPI Pivot tables 7" cacheId="0" dataCaption="" compact="0" compactData="0">
  <location ref="D18:E24" firstHeaderRow="0" firstDataRow="1" firstDataCol="0"/>
  <pivotFields>
    <pivotField name="Product type" compact="0" outline="0" multipleItemSelectionAllowed="1" showAll="0">
      <items>
        <item x="0"/>
        <item x="1"/>
        <item x="2"/>
        <item t="default"/>
      </items>
    </pivotField>
    <pivotField name="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Number of produc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Revenue generated"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ustomer demographics" compact="0" outline="0" multipleItemSelectionAllowed="1" showAll="0">
      <items>
        <item x="0"/>
        <item x="1"/>
        <item x="2"/>
        <item x="3"/>
        <item t="default"/>
      </items>
    </pivotField>
    <pivotField name="Stock leve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ead ti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der quant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hipping times" compact="0" outline="0" multipleItemSelectionAllowed="1" showAll="0">
      <items>
        <item x="0"/>
        <item x="1"/>
        <item x="2"/>
        <item x="3"/>
        <item x="4"/>
        <item x="5"/>
        <item x="6"/>
        <item x="7"/>
        <item x="8"/>
        <item x="9"/>
        <item t="default"/>
      </items>
    </pivotField>
    <pivotField name="Shipping carriers" compact="0" outline="0" multipleItemSelectionAllowed="1" showAll="0">
      <items>
        <item x="0"/>
        <item x="1"/>
        <item x="2"/>
        <item t="default"/>
      </items>
    </pivotField>
    <pivotField name="Shipp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upplier name" compact="0" outline="0" multipleItemSelectionAllowed="1" showAll="0">
      <items>
        <item x="0"/>
        <item x="1"/>
        <item x="2"/>
        <item x="3"/>
        <item x="4"/>
        <item t="default"/>
      </items>
    </pivotField>
    <pivotField name="Location" axis="axisRow" compact="0" outline="0" multipleItemSelectionAllowed="1" showAll="0" sortType="ascending">
      <items>
        <item x="3"/>
        <item x="4"/>
        <item x="2"/>
        <item x="1"/>
        <item x="0"/>
        <item t="default"/>
      </items>
    </pivotField>
    <pivotField name="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roduction volum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anufacturing lead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ufacturing 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spection results" compact="0" outline="0" multipleItemSelectionAllowed="1" showAll="0">
      <items>
        <item x="0"/>
        <item x="1"/>
        <item x="2"/>
        <item t="default"/>
      </items>
    </pivotField>
    <pivotField name="Defect ra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ransportation modes" compact="0" outline="0" multipleItemSelectionAllowed="1" showAll="0">
      <items>
        <item x="0"/>
        <item x="1"/>
        <item x="2"/>
        <item x="3"/>
        <item t="default"/>
      </items>
    </pivotField>
    <pivotField name="Routes" compact="0" outline="0" multipleItemSelectionAllowed="1" showAll="0">
      <items>
        <item x="0"/>
        <item x="1"/>
        <item x="2"/>
        <item t="default"/>
      </items>
    </pivotField>
    <pivotField name="Cost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nventory valu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lead time category" compact="0" outline="0" multipleItemSelectionAllowed="1" showAll="0">
      <items>
        <item x="0"/>
        <item x="1"/>
        <item x="2"/>
        <item t="default"/>
      </items>
    </pivotField>
    <pivotField name="shipping delay flags" compact="0" outline="0" multipleItemSelectionAllowed="1" showAll="0">
      <items>
        <item x="0"/>
        <item x="1"/>
        <item t="default"/>
      </items>
    </pivotField>
    <pivotField name="defect category" compact="0" outline="0" multipleItemSelectionAllowed="1" showAll="0">
      <items>
        <item x="0"/>
        <item t="default"/>
      </items>
    </pivotField>
  </pivotFields>
  <rowFields>
    <field x="14"/>
  </rowFields>
  <dataFields>
    <dataField name="SUM of Revenue generated"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duct typ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Shipping carriers">
  <x14:extLst>
    <ext uri="{2F2917AC-EB37-4324-AD4E-5DD8C200BD13}">
      <x15:tableSlicerCache tableId="1" column="1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Supplier name">
  <x14:extLst>
    <ext uri="{2F2917AC-EB37-4324-AD4E-5DD8C200BD13}">
      <x15:tableSlicerCache tableId="1" column="1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Location">
  <x14:extLst>
    <ext uri="{2F2917AC-EB37-4324-AD4E-5DD8C200BD13}">
      <x15:tableSlicerCache tableId="1" column="1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pplier name_1" cache="SlicerCache_Table_1_Col_14" caption="Supplier name" rowHeight="247650"/>
  <x14:slicer name="Product type_2" cache="SlicerCache_Table_1_Col_1" caption="Product type" rowHeight="247650"/>
  <x14:slicer name="Location_3" cache="SlicerCache_Table_1_Col_15" caption="Location" rowHeight="247650"/>
  <x14:slicer name="Shipping carriers_4" cache="SlicerCache_Table_1_Col_12" caption="Shipping carriers" rowHeight="247650"/>
</x14:slicers>
</file>

<file path=xl/tables/table1.xml><?xml version="1.0" encoding="utf-8"?>
<table xmlns="http://schemas.openxmlformats.org/spreadsheetml/2006/main" ref="A1:AB1000" displayName="Table_1" name="Table_1" id="1">
  <autoFilter ref="$A$1:$AB$1000"/>
  <tableColumns count="28">
    <tableColumn name="Product type" id="1"/>
    <tableColumn name="SKU" id="2"/>
    <tableColumn name="Price" id="3"/>
    <tableColumn name="Availability" id="4"/>
    <tableColumn name="Number of products sold" id="5"/>
    <tableColumn name="Revenue generated" id="6"/>
    <tableColumn name="Customer demographics" id="7"/>
    <tableColumn name="Stock levels" id="8"/>
    <tableColumn name="Lead times" id="9"/>
    <tableColumn name="Order quantities" id="10"/>
    <tableColumn name="Shipping times" id="11"/>
    <tableColumn name="Shipping carriers" id="12"/>
    <tableColumn name="Shipping costs" id="13"/>
    <tableColumn name="Supplier name" id="14"/>
    <tableColumn name="Location" id="15"/>
    <tableColumn name="Lead time" id="16"/>
    <tableColumn name="Production volumes" id="17"/>
    <tableColumn name="Manufacturing lead time" id="18"/>
    <tableColumn name="Manufacturing costs" id="19"/>
    <tableColumn name="Inspection results" id="20"/>
    <tableColumn name="Defect rates" id="21"/>
    <tableColumn name="Transportation modes" id="22"/>
    <tableColumn name="Routes" id="23"/>
    <tableColumn name="Costs" id="24"/>
    <tableColumn name="inventory value" id="25"/>
    <tableColumn name="lead time category" id="26"/>
    <tableColumn name="shipping delay flags" id="27"/>
    <tableColumn name="defect category" id="2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 customWidth="1" min="5" max="5" width="20.75"/>
    <col customWidth="1" min="6" max="6" width="19.25"/>
    <col customWidth="1" min="7" max="7" width="16.88"/>
    <col customWidth="1" min="18" max="18" width="20.5"/>
    <col customWidth="1" min="19" max="19" width="18.38"/>
    <col customWidth="1" min="26" max="28" width="13.88"/>
  </cols>
  <sheetData>
    <row r="1">
      <c r="A1" s="1" t="s">
        <v>0</v>
      </c>
      <c r="B1" s="1" t="s">
        <v>1</v>
      </c>
      <c r="C1" s="2" t="s">
        <v>2</v>
      </c>
      <c r="D1" s="1" t="s">
        <v>3</v>
      </c>
      <c r="E1" s="1" t="s">
        <v>4</v>
      </c>
      <c r="F1" s="2" t="s">
        <v>5</v>
      </c>
      <c r="G1" s="1" t="s">
        <v>6</v>
      </c>
      <c r="H1" s="1" t="s">
        <v>7</v>
      </c>
      <c r="I1" s="1" t="s">
        <v>8</v>
      </c>
      <c r="J1" s="1" t="s">
        <v>9</v>
      </c>
      <c r="K1" s="1" t="s">
        <v>10</v>
      </c>
      <c r="L1" s="1" t="s">
        <v>11</v>
      </c>
      <c r="M1" s="3" t="s">
        <v>12</v>
      </c>
      <c r="N1" s="1" t="s">
        <v>13</v>
      </c>
      <c r="O1" s="1" t="s">
        <v>14</v>
      </c>
      <c r="P1" s="1" t="s">
        <v>15</v>
      </c>
      <c r="Q1" s="1" t="s">
        <v>16</v>
      </c>
      <c r="R1" s="1" t="s">
        <v>17</v>
      </c>
      <c r="S1" s="3" t="s">
        <v>18</v>
      </c>
      <c r="T1" s="1" t="s">
        <v>19</v>
      </c>
      <c r="U1" s="2" t="s">
        <v>20</v>
      </c>
      <c r="V1" s="1" t="s">
        <v>21</v>
      </c>
      <c r="W1" s="1" t="s">
        <v>22</v>
      </c>
      <c r="X1" s="3" t="s">
        <v>23</v>
      </c>
      <c r="Y1" s="3" t="s">
        <v>24</v>
      </c>
      <c r="Z1" s="1" t="s">
        <v>25</v>
      </c>
      <c r="AA1" s="1" t="s">
        <v>26</v>
      </c>
      <c r="AB1" s="1" t="s">
        <v>27</v>
      </c>
    </row>
    <row r="2">
      <c r="A2" s="1" t="s">
        <v>28</v>
      </c>
      <c r="B2" s="1" t="s">
        <v>29</v>
      </c>
      <c r="C2" s="2">
        <v>69.8080055421157</v>
      </c>
      <c r="D2" s="1">
        <v>55.0</v>
      </c>
      <c r="E2" s="1">
        <v>802.0</v>
      </c>
      <c r="F2" s="2">
        <v>8661.99679239238</v>
      </c>
      <c r="G2" s="1" t="s">
        <v>30</v>
      </c>
      <c r="H2" s="1">
        <v>58.0</v>
      </c>
      <c r="I2" s="1">
        <v>7.0</v>
      </c>
      <c r="J2" s="1">
        <v>96.0</v>
      </c>
      <c r="K2" s="1">
        <v>4.0</v>
      </c>
      <c r="L2" s="1" t="s">
        <v>31</v>
      </c>
      <c r="M2" s="3">
        <v>2.9565721394308</v>
      </c>
      <c r="N2" s="1" t="s">
        <v>32</v>
      </c>
      <c r="O2" s="1" t="s">
        <v>33</v>
      </c>
      <c r="P2" s="1">
        <v>29.0</v>
      </c>
      <c r="Q2" s="1">
        <v>215.0</v>
      </c>
      <c r="R2" s="1">
        <v>29.0</v>
      </c>
      <c r="S2" s="3">
        <v>46.2798792405083</v>
      </c>
      <c r="T2" s="1" t="s">
        <v>34</v>
      </c>
      <c r="U2" s="2">
        <v>0.226410360849925</v>
      </c>
      <c r="V2" s="1" t="s">
        <v>35</v>
      </c>
      <c r="W2" s="1" t="s">
        <v>36</v>
      </c>
      <c r="X2" s="3">
        <v>187.752075459203</v>
      </c>
      <c r="Y2" s="4">
        <f t="shared" ref="Y2:Y101" si="1">H2*C2</f>
        <v>4048.864321</v>
      </c>
      <c r="Z2" s="5" t="str">
        <f t="shared" ref="Z2:Z101" si="2">IF(I2&lt;=5, "Fast", IF(I2&lt;=10, "Medium", "Slow"))</f>
        <v>Medium</v>
      </c>
      <c r="AA2" s="5" t="str">
        <f t="shared" ref="AA2:AA101" si="3">IF(K2&gt;7,"Delayed","On Time")</f>
        <v>On Time</v>
      </c>
      <c r="AB2" s="5" t="str">
        <f t="shared" ref="AB2:AB101" si="4">IF(U2&gt;5,"High","Low")</f>
        <v>Low</v>
      </c>
    </row>
    <row r="3">
      <c r="A3" s="1" t="s">
        <v>37</v>
      </c>
      <c r="B3" s="1" t="s">
        <v>38</v>
      </c>
      <c r="C3" s="2">
        <v>14.8435232750843</v>
      </c>
      <c r="D3" s="1">
        <v>95.0</v>
      </c>
      <c r="E3" s="1">
        <v>736.0</v>
      </c>
      <c r="F3" s="2">
        <v>7460.90006544584</v>
      </c>
      <c r="G3" s="1" t="s">
        <v>39</v>
      </c>
      <c r="H3" s="1">
        <v>53.0</v>
      </c>
      <c r="I3" s="1">
        <v>30.0</v>
      </c>
      <c r="J3" s="1">
        <v>37.0</v>
      </c>
      <c r="K3" s="1">
        <v>2.0</v>
      </c>
      <c r="L3" s="1" t="s">
        <v>40</v>
      </c>
      <c r="M3" s="3">
        <v>9.71657477143131</v>
      </c>
      <c r="N3" s="1" t="s">
        <v>32</v>
      </c>
      <c r="O3" s="1" t="s">
        <v>33</v>
      </c>
      <c r="P3" s="1">
        <v>23.0</v>
      </c>
      <c r="Q3" s="1">
        <v>517.0</v>
      </c>
      <c r="R3" s="1">
        <v>30.0</v>
      </c>
      <c r="S3" s="3">
        <v>33.61676895373</v>
      </c>
      <c r="T3" s="1" t="s">
        <v>34</v>
      </c>
      <c r="U3" s="2">
        <v>4.8540680263887</v>
      </c>
      <c r="V3" s="1" t="s">
        <v>35</v>
      </c>
      <c r="W3" s="1" t="s">
        <v>36</v>
      </c>
      <c r="X3" s="3">
        <v>503.065579149669</v>
      </c>
      <c r="Y3" s="4">
        <f t="shared" si="1"/>
        <v>786.7067336</v>
      </c>
      <c r="Z3" s="5" t="str">
        <f t="shared" si="2"/>
        <v>Slow</v>
      </c>
      <c r="AA3" s="5" t="str">
        <f t="shared" si="3"/>
        <v>On Time</v>
      </c>
      <c r="AB3" s="5" t="str">
        <f t="shared" si="4"/>
        <v>Low</v>
      </c>
    </row>
    <row r="4">
      <c r="A4" s="1" t="s">
        <v>28</v>
      </c>
      <c r="B4" s="1" t="s">
        <v>41</v>
      </c>
      <c r="C4" s="2">
        <v>11.3196832930905</v>
      </c>
      <c r="D4" s="1">
        <v>34.0</v>
      </c>
      <c r="E4" s="1">
        <v>8.0</v>
      </c>
      <c r="F4" s="2">
        <v>9577.74962586873</v>
      </c>
      <c r="G4" s="1" t="s">
        <v>42</v>
      </c>
      <c r="H4" s="1">
        <v>1.0</v>
      </c>
      <c r="I4" s="1">
        <v>10.0</v>
      </c>
      <c r="J4" s="1">
        <v>88.0</v>
      </c>
      <c r="K4" s="1">
        <v>2.0</v>
      </c>
      <c r="L4" s="1" t="s">
        <v>31</v>
      </c>
      <c r="M4" s="3">
        <v>8.05447926173215</v>
      </c>
      <c r="N4" s="1" t="s">
        <v>43</v>
      </c>
      <c r="O4" s="1" t="s">
        <v>33</v>
      </c>
      <c r="P4" s="1">
        <v>12.0</v>
      </c>
      <c r="Q4" s="1">
        <v>971.0</v>
      </c>
      <c r="R4" s="1">
        <v>27.0</v>
      </c>
      <c r="S4" s="3">
        <v>30.6880193482842</v>
      </c>
      <c r="T4" s="1" t="s">
        <v>34</v>
      </c>
      <c r="U4" s="2">
        <v>4.58059261919922</v>
      </c>
      <c r="V4" s="1" t="s">
        <v>44</v>
      </c>
      <c r="W4" s="1" t="s">
        <v>45</v>
      </c>
      <c r="X4" s="3">
        <v>141.920281771519</v>
      </c>
      <c r="Y4" s="4">
        <f t="shared" si="1"/>
        <v>11.31968329</v>
      </c>
      <c r="Z4" s="5" t="str">
        <f t="shared" si="2"/>
        <v>Medium</v>
      </c>
      <c r="AA4" s="5" t="str">
        <f t="shared" si="3"/>
        <v>On Time</v>
      </c>
      <c r="AB4" s="5" t="str">
        <f t="shared" si="4"/>
        <v>Low</v>
      </c>
    </row>
    <row r="5">
      <c r="A5" s="1" t="s">
        <v>37</v>
      </c>
      <c r="B5" s="1" t="s">
        <v>46</v>
      </c>
      <c r="C5" s="2">
        <v>61.1633430164377</v>
      </c>
      <c r="D5" s="1">
        <v>68.0</v>
      </c>
      <c r="E5" s="1">
        <v>83.0</v>
      </c>
      <c r="F5" s="2">
        <v>7766.83642568523</v>
      </c>
      <c r="G5" s="1" t="s">
        <v>30</v>
      </c>
      <c r="H5" s="1">
        <v>23.0</v>
      </c>
      <c r="I5" s="1">
        <v>13.0</v>
      </c>
      <c r="J5" s="1">
        <v>59.0</v>
      </c>
      <c r="K5" s="1">
        <v>6.0</v>
      </c>
      <c r="L5" s="1" t="s">
        <v>47</v>
      </c>
      <c r="M5" s="3">
        <v>1.72956856354342</v>
      </c>
      <c r="N5" s="1" t="s">
        <v>48</v>
      </c>
      <c r="O5" s="1" t="s">
        <v>49</v>
      </c>
      <c r="P5" s="1">
        <v>24.0</v>
      </c>
      <c r="Q5" s="1">
        <v>937.0</v>
      </c>
      <c r="R5" s="1">
        <v>18.0</v>
      </c>
      <c r="S5" s="3">
        <v>35.624741397125</v>
      </c>
      <c r="T5" s="1" t="s">
        <v>50</v>
      </c>
      <c r="U5" s="2">
        <v>4.74664862064775</v>
      </c>
      <c r="V5" s="1" t="s">
        <v>51</v>
      </c>
      <c r="W5" s="1" t="s">
        <v>52</v>
      </c>
      <c r="X5" s="3">
        <v>254.776159219286</v>
      </c>
      <c r="Y5" s="4">
        <f t="shared" si="1"/>
        <v>1406.756889</v>
      </c>
      <c r="Z5" s="5" t="str">
        <f t="shared" si="2"/>
        <v>Slow</v>
      </c>
      <c r="AA5" s="5" t="str">
        <f t="shared" si="3"/>
        <v>On Time</v>
      </c>
      <c r="AB5" s="5" t="str">
        <f t="shared" si="4"/>
        <v>Low</v>
      </c>
    </row>
    <row r="6">
      <c r="A6" s="1" t="s">
        <v>37</v>
      </c>
      <c r="B6" s="1" t="s">
        <v>53</v>
      </c>
      <c r="C6" s="2">
        <v>4.80549603634589</v>
      </c>
      <c r="D6" s="1">
        <v>26.0</v>
      </c>
      <c r="E6" s="1">
        <v>871.0</v>
      </c>
      <c r="F6" s="2">
        <v>2686.50515156744</v>
      </c>
      <c r="G6" s="1" t="s">
        <v>30</v>
      </c>
      <c r="H6" s="1">
        <v>5.0</v>
      </c>
      <c r="I6" s="1">
        <v>3.0</v>
      </c>
      <c r="J6" s="1">
        <v>56.0</v>
      </c>
      <c r="K6" s="1">
        <v>8.0</v>
      </c>
      <c r="L6" s="1" t="s">
        <v>40</v>
      </c>
      <c r="M6" s="3">
        <v>3.89054791587067</v>
      </c>
      <c r="N6" s="1" t="s">
        <v>43</v>
      </c>
      <c r="O6" s="1" t="s">
        <v>54</v>
      </c>
      <c r="P6" s="1">
        <v>5.0</v>
      </c>
      <c r="Q6" s="1">
        <v>414.0</v>
      </c>
      <c r="R6" s="1">
        <v>3.0</v>
      </c>
      <c r="S6" s="3">
        <v>92.0651605987128</v>
      </c>
      <c r="T6" s="1" t="s">
        <v>50</v>
      </c>
      <c r="U6" s="2">
        <v>3.145579522833</v>
      </c>
      <c r="V6" s="1" t="s">
        <v>44</v>
      </c>
      <c r="W6" s="1" t="s">
        <v>52</v>
      </c>
      <c r="X6" s="3">
        <v>923.440631711922</v>
      </c>
      <c r="Y6" s="4">
        <f t="shared" si="1"/>
        <v>24.02748018</v>
      </c>
      <c r="Z6" s="5" t="str">
        <f t="shared" si="2"/>
        <v>Fast</v>
      </c>
      <c r="AA6" s="5" t="str">
        <f t="shared" si="3"/>
        <v>Delayed</v>
      </c>
      <c r="AB6" s="5" t="str">
        <f t="shared" si="4"/>
        <v>Low</v>
      </c>
    </row>
    <row r="7">
      <c r="A7" s="1" t="s">
        <v>28</v>
      </c>
      <c r="B7" s="1" t="s">
        <v>55</v>
      </c>
      <c r="C7" s="2">
        <v>1.69997601386593</v>
      </c>
      <c r="D7" s="1">
        <v>87.0</v>
      </c>
      <c r="E7" s="1">
        <v>147.0</v>
      </c>
      <c r="F7" s="2">
        <v>2828.34874597575</v>
      </c>
      <c r="G7" s="1" t="s">
        <v>30</v>
      </c>
      <c r="H7" s="1">
        <v>90.0</v>
      </c>
      <c r="I7" s="1">
        <v>27.0</v>
      </c>
      <c r="J7" s="1">
        <v>66.0</v>
      </c>
      <c r="K7" s="1">
        <v>3.0</v>
      </c>
      <c r="L7" s="1" t="s">
        <v>31</v>
      </c>
      <c r="M7" s="3">
        <v>4.44409886438229</v>
      </c>
      <c r="N7" s="1" t="s">
        <v>56</v>
      </c>
      <c r="O7" s="1" t="s">
        <v>57</v>
      </c>
      <c r="P7" s="1">
        <v>10.0</v>
      </c>
      <c r="Q7" s="1">
        <v>104.0</v>
      </c>
      <c r="R7" s="1">
        <v>17.0</v>
      </c>
      <c r="S7" s="3">
        <v>56.7664755574318</v>
      </c>
      <c r="T7" s="1" t="s">
        <v>50</v>
      </c>
      <c r="U7" s="2">
        <v>2.77919351157116</v>
      </c>
      <c r="V7" s="1" t="s">
        <v>35</v>
      </c>
      <c r="W7" s="1" t="s">
        <v>52</v>
      </c>
      <c r="X7" s="3">
        <v>235.461236735537</v>
      </c>
      <c r="Y7" s="4">
        <f t="shared" si="1"/>
        <v>152.9978412</v>
      </c>
      <c r="Z7" s="5" t="str">
        <f t="shared" si="2"/>
        <v>Slow</v>
      </c>
      <c r="AA7" s="5" t="str">
        <f t="shared" si="3"/>
        <v>On Time</v>
      </c>
      <c r="AB7" s="5" t="str">
        <f t="shared" si="4"/>
        <v>Low</v>
      </c>
    </row>
    <row r="8">
      <c r="A8" s="1" t="s">
        <v>37</v>
      </c>
      <c r="B8" s="1" t="s">
        <v>58</v>
      </c>
      <c r="C8" s="2">
        <v>4.07833286310794</v>
      </c>
      <c r="D8" s="1">
        <v>48.0</v>
      </c>
      <c r="E8" s="1">
        <v>65.0</v>
      </c>
      <c r="F8" s="2">
        <v>7823.47655953173</v>
      </c>
      <c r="G8" s="1" t="s">
        <v>59</v>
      </c>
      <c r="H8" s="1">
        <v>11.0</v>
      </c>
      <c r="I8" s="1">
        <v>15.0</v>
      </c>
      <c r="J8" s="1">
        <v>58.0</v>
      </c>
      <c r="K8" s="1">
        <v>8.0</v>
      </c>
      <c r="L8" s="1" t="s">
        <v>47</v>
      </c>
      <c r="M8" s="3">
        <v>3.880763302952</v>
      </c>
      <c r="N8" s="1" t="s">
        <v>32</v>
      </c>
      <c r="O8" s="1" t="s">
        <v>49</v>
      </c>
      <c r="P8" s="1">
        <v>14.0</v>
      </c>
      <c r="Q8" s="1">
        <v>314.0</v>
      </c>
      <c r="R8" s="1">
        <v>24.0</v>
      </c>
      <c r="S8" s="3">
        <v>1.08506856958706</v>
      </c>
      <c r="T8" s="1" t="s">
        <v>34</v>
      </c>
      <c r="U8" s="2">
        <v>1.00091061930413</v>
      </c>
      <c r="V8" s="1" t="s">
        <v>60</v>
      </c>
      <c r="W8" s="1" t="s">
        <v>52</v>
      </c>
      <c r="X8" s="3">
        <v>134.369096861031</v>
      </c>
      <c r="Y8" s="4">
        <f t="shared" si="1"/>
        <v>44.86166149</v>
      </c>
      <c r="Z8" s="5" t="str">
        <f t="shared" si="2"/>
        <v>Slow</v>
      </c>
      <c r="AA8" s="5" t="str">
        <f t="shared" si="3"/>
        <v>Delayed</v>
      </c>
      <c r="AB8" s="5" t="str">
        <f t="shared" si="4"/>
        <v>Low</v>
      </c>
    </row>
    <row r="9">
      <c r="A9" s="1" t="s">
        <v>61</v>
      </c>
      <c r="B9" s="1" t="s">
        <v>62</v>
      </c>
      <c r="C9" s="2">
        <v>42.95838438246</v>
      </c>
      <c r="D9" s="1">
        <v>59.0</v>
      </c>
      <c r="E9" s="1">
        <v>426.0</v>
      </c>
      <c r="F9" s="2">
        <v>8496.10381308983</v>
      </c>
      <c r="G9" s="1" t="s">
        <v>39</v>
      </c>
      <c r="H9" s="1">
        <v>93.0</v>
      </c>
      <c r="I9" s="1">
        <v>17.0</v>
      </c>
      <c r="J9" s="1">
        <v>11.0</v>
      </c>
      <c r="K9" s="1">
        <v>1.0</v>
      </c>
      <c r="L9" s="1" t="s">
        <v>31</v>
      </c>
      <c r="M9" s="3">
        <v>2.34833878441778</v>
      </c>
      <c r="N9" s="1" t="s">
        <v>56</v>
      </c>
      <c r="O9" s="1" t="s">
        <v>57</v>
      </c>
      <c r="P9" s="1">
        <v>22.0</v>
      </c>
      <c r="Q9" s="1">
        <v>564.0</v>
      </c>
      <c r="R9" s="1">
        <v>1.0</v>
      </c>
      <c r="S9" s="3">
        <v>99.4661086035991</v>
      </c>
      <c r="T9" s="1" t="s">
        <v>50</v>
      </c>
      <c r="U9" s="2">
        <v>0.39817718685065</v>
      </c>
      <c r="V9" s="1" t="s">
        <v>35</v>
      </c>
      <c r="W9" s="1" t="s">
        <v>45</v>
      </c>
      <c r="X9" s="3">
        <v>802.056311817558</v>
      </c>
      <c r="Y9" s="4">
        <f t="shared" si="1"/>
        <v>3995.129748</v>
      </c>
      <c r="Z9" s="5" t="str">
        <f t="shared" si="2"/>
        <v>Slow</v>
      </c>
      <c r="AA9" s="5" t="str">
        <f t="shared" si="3"/>
        <v>On Time</v>
      </c>
      <c r="AB9" s="5" t="str">
        <f t="shared" si="4"/>
        <v>Low</v>
      </c>
    </row>
    <row r="10">
      <c r="A10" s="1" t="s">
        <v>61</v>
      </c>
      <c r="B10" s="1" t="s">
        <v>63</v>
      </c>
      <c r="C10" s="2">
        <v>68.7175967485273</v>
      </c>
      <c r="D10" s="1">
        <v>78.0</v>
      </c>
      <c r="E10" s="1">
        <v>150.0</v>
      </c>
      <c r="F10" s="2">
        <v>7517.36321063112</v>
      </c>
      <c r="G10" s="1" t="s">
        <v>39</v>
      </c>
      <c r="H10" s="1">
        <v>5.0</v>
      </c>
      <c r="I10" s="1">
        <v>10.0</v>
      </c>
      <c r="J10" s="1">
        <v>15.0</v>
      </c>
      <c r="K10" s="1">
        <v>7.0</v>
      </c>
      <c r="L10" s="1" t="s">
        <v>47</v>
      </c>
      <c r="M10" s="3">
        <v>3.40473385708302</v>
      </c>
      <c r="N10" s="1" t="s">
        <v>56</v>
      </c>
      <c r="O10" s="1" t="s">
        <v>33</v>
      </c>
      <c r="P10" s="1">
        <v>13.0</v>
      </c>
      <c r="Q10" s="1">
        <v>769.0</v>
      </c>
      <c r="R10" s="1">
        <v>8.0</v>
      </c>
      <c r="S10" s="3">
        <v>11.4230271395656</v>
      </c>
      <c r="T10" s="1" t="s">
        <v>34</v>
      </c>
      <c r="U10" s="2">
        <v>2.70986269110996</v>
      </c>
      <c r="V10" s="1" t="s">
        <v>60</v>
      </c>
      <c r="W10" s="1" t="s">
        <v>36</v>
      </c>
      <c r="X10" s="3">
        <v>505.557134225464</v>
      </c>
      <c r="Y10" s="4">
        <f t="shared" si="1"/>
        <v>343.5879837</v>
      </c>
      <c r="Z10" s="5" t="str">
        <f t="shared" si="2"/>
        <v>Medium</v>
      </c>
      <c r="AA10" s="5" t="str">
        <f t="shared" si="3"/>
        <v>On Time</v>
      </c>
      <c r="AB10" s="5" t="str">
        <f t="shared" si="4"/>
        <v>Low</v>
      </c>
    </row>
    <row r="11">
      <c r="A11" s="1" t="s">
        <v>37</v>
      </c>
      <c r="B11" s="1" t="s">
        <v>64</v>
      </c>
      <c r="C11" s="2">
        <v>64.0157329412785</v>
      </c>
      <c r="D11" s="1">
        <v>35.0</v>
      </c>
      <c r="E11" s="1">
        <v>980.0</v>
      </c>
      <c r="F11" s="2">
        <v>4971.14598758555</v>
      </c>
      <c r="G11" s="1" t="s">
        <v>42</v>
      </c>
      <c r="H11" s="1">
        <v>14.0</v>
      </c>
      <c r="I11" s="1">
        <v>27.0</v>
      </c>
      <c r="J11" s="1">
        <v>83.0</v>
      </c>
      <c r="K11" s="1">
        <v>1.0</v>
      </c>
      <c r="L11" s="1" t="s">
        <v>40</v>
      </c>
      <c r="M11" s="3">
        <v>7.16664529104821</v>
      </c>
      <c r="N11" s="1" t="s">
        <v>65</v>
      </c>
      <c r="O11" s="1" t="s">
        <v>66</v>
      </c>
      <c r="P11" s="1">
        <v>29.0</v>
      </c>
      <c r="Q11" s="1">
        <v>963.0</v>
      </c>
      <c r="R11" s="1">
        <v>23.0</v>
      </c>
      <c r="S11" s="3">
        <v>47.9576016349515</v>
      </c>
      <c r="T11" s="1" t="s">
        <v>34</v>
      </c>
      <c r="U11" s="2">
        <v>3.84461447876758</v>
      </c>
      <c r="V11" s="1" t="s">
        <v>51</v>
      </c>
      <c r="W11" s="1" t="s">
        <v>36</v>
      </c>
      <c r="X11" s="3">
        <v>995.929461498641</v>
      </c>
      <c r="Y11" s="4">
        <f t="shared" si="1"/>
        <v>896.2202612</v>
      </c>
      <c r="Z11" s="5" t="str">
        <f t="shared" si="2"/>
        <v>Slow</v>
      </c>
      <c r="AA11" s="5" t="str">
        <f t="shared" si="3"/>
        <v>On Time</v>
      </c>
      <c r="AB11" s="5" t="str">
        <f t="shared" si="4"/>
        <v>Low</v>
      </c>
    </row>
    <row r="12">
      <c r="A12" s="1" t="s">
        <v>37</v>
      </c>
      <c r="B12" s="1" t="s">
        <v>67</v>
      </c>
      <c r="C12" s="2">
        <v>15.7077956819121</v>
      </c>
      <c r="D12" s="1">
        <v>11.0</v>
      </c>
      <c r="E12" s="1">
        <v>996.0</v>
      </c>
      <c r="F12" s="2">
        <v>2330.96580209194</v>
      </c>
      <c r="G12" s="1" t="s">
        <v>30</v>
      </c>
      <c r="H12" s="1">
        <v>51.0</v>
      </c>
      <c r="I12" s="1">
        <v>13.0</v>
      </c>
      <c r="J12" s="1">
        <v>80.0</v>
      </c>
      <c r="K12" s="1">
        <v>2.0</v>
      </c>
      <c r="L12" s="1" t="s">
        <v>47</v>
      </c>
      <c r="M12" s="3">
        <v>8.67321121127861</v>
      </c>
      <c r="N12" s="1" t="s">
        <v>48</v>
      </c>
      <c r="O12" s="1" t="s">
        <v>49</v>
      </c>
      <c r="P12" s="1">
        <v>18.0</v>
      </c>
      <c r="Q12" s="1">
        <v>830.0</v>
      </c>
      <c r="R12" s="1">
        <v>5.0</v>
      </c>
      <c r="S12" s="3">
        <v>96.5273527853109</v>
      </c>
      <c r="T12" s="1" t="s">
        <v>68</v>
      </c>
      <c r="U12" s="2">
        <v>1.72731392835594</v>
      </c>
      <c r="V12" s="1" t="s">
        <v>35</v>
      </c>
      <c r="W12" s="1" t="s">
        <v>36</v>
      </c>
      <c r="X12" s="3">
        <v>806.103177702923</v>
      </c>
      <c r="Y12" s="4">
        <f t="shared" si="1"/>
        <v>801.0975798</v>
      </c>
      <c r="Z12" s="5" t="str">
        <f t="shared" si="2"/>
        <v>Slow</v>
      </c>
      <c r="AA12" s="5" t="str">
        <f t="shared" si="3"/>
        <v>On Time</v>
      </c>
      <c r="AB12" s="5" t="str">
        <f t="shared" si="4"/>
        <v>Low</v>
      </c>
    </row>
    <row r="13">
      <c r="A13" s="1" t="s">
        <v>37</v>
      </c>
      <c r="B13" s="1" t="s">
        <v>69</v>
      </c>
      <c r="C13" s="2">
        <v>90.6354599822886</v>
      </c>
      <c r="D13" s="1">
        <v>95.0</v>
      </c>
      <c r="E13" s="1">
        <v>960.0</v>
      </c>
      <c r="F13" s="2">
        <v>6099.94411558145</v>
      </c>
      <c r="G13" s="1" t="s">
        <v>39</v>
      </c>
      <c r="H13" s="1">
        <v>46.0</v>
      </c>
      <c r="I13" s="1">
        <v>23.0</v>
      </c>
      <c r="J13" s="1">
        <v>60.0</v>
      </c>
      <c r="K13" s="1">
        <v>1.0</v>
      </c>
      <c r="L13" s="1" t="s">
        <v>40</v>
      </c>
      <c r="M13" s="3">
        <v>4.52394312431666</v>
      </c>
      <c r="N13" s="1" t="s">
        <v>65</v>
      </c>
      <c r="O13" s="1" t="s">
        <v>49</v>
      </c>
      <c r="P13" s="1">
        <v>28.0</v>
      </c>
      <c r="Q13" s="1">
        <v>362.0</v>
      </c>
      <c r="R13" s="1">
        <v>11.0</v>
      </c>
      <c r="S13" s="3">
        <v>27.5923630866636</v>
      </c>
      <c r="T13" s="1" t="s">
        <v>34</v>
      </c>
      <c r="U13" s="2">
        <v>0.0211698213729943</v>
      </c>
      <c r="V13" s="1" t="s">
        <v>44</v>
      </c>
      <c r="W13" s="1" t="s">
        <v>52</v>
      </c>
      <c r="X13" s="3">
        <v>126.723033409407</v>
      </c>
      <c r="Y13" s="4">
        <f t="shared" si="1"/>
        <v>4169.231159</v>
      </c>
      <c r="Z13" s="5" t="str">
        <f t="shared" si="2"/>
        <v>Slow</v>
      </c>
      <c r="AA13" s="5" t="str">
        <f t="shared" si="3"/>
        <v>On Time</v>
      </c>
      <c r="AB13" s="5" t="str">
        <f t="shared" si="4"/>
        <v>Low</v>
      </c>
    </row>
    <row r="14">
      <c r="A14" s="1" t="s">
        <v>28</v>
      </c>
      <c r="B14" s="1" t="s">
        <v>70</v>
      </c>
      <c r="C14" s="2">
        <v>71.21338907536</v>
      </c>
      <c r="D14" s="1">
        <v>41.0</v>
      </c>
      <c r="E14" s="1">
        <v>336.0</v>
      </c>
      <c r="F14" s="2">
        <v>2873.74144602144</v>
      </c>
      <c r="G14" s="1" t="s">
        <v>42</v>
      </c>
      <c r="H14" s="1">
        <v>100.0</v>
      </c>
      <c r="I14" s="1">
        <v>30.0</v>
      </c>
      <c r="J14" s="1">
        <v>85.0</v>
      </c>
      <c r="K14" s="1">
        <v>4.0</v>
      </c>
      <c r="L14" s="1" t="s">
        <v>40</v>
      </c>
      <c r="M14" s="3">
        <v>1.32527401018452</v>
      </c>
      <c r="N14" s="1" t="s">
        <v>56</v>
      </c>
      <c r="O14" s="1" t="s">
        <v>49</v>
      </c>
      <c r="P14" s="1">
        <v>3.0</v>
      </c>
      <c r="Q14" s="1">
        <v>563.0</v>
      </c>
      <c r="R14" s="1">
        <v>3.0</v>
      </c>
      <c r="S14" s="3">
        <v>32.321286213424</v>
      </c>
      <c r="T14" s="1" t="s">
        <v>50</v>
      </c>
      <c r="U14" s="2">
        <v>2.16125374755591</v>
      </c>
      <c r="V14" s="1" t="s">
        <v>35</v>
      </c>
      <c r="W14" s="1" t="s">
        <v>36</v>
      </c>
      <c r="X14" s="3">
        <v>402.96878907377</v>
      </c>
      <c r="Y14" s="4">
        <f t="shared" si="1"/>
        <v>7121.338908</v>
      </c>
      <c r="Z14" s="5" t="str">
        <f t="shared" si="2"/>
        <v>Slow</v>
      </c>
      <c r="AA14" s="5" t="str">
        <f t="shared" si="3"/>
        <v>On Time</v>
      </c>
      <c r="AB14" s="5" t="str">
        <f t="shared" si="4"/>
        <v>Low</v>
      </c>
    </row>
    <row r="15">
      <c r="A15" s="1" t="s">
        <v>37</v>
      </c>
      <c r="B15" s="1" t="s">
        <v>71</v>
      </c>
      <c r="C15" s="2">
        <v>16.1603933173799</v>
      </c>
      <c r="D15" s="1">
        <v>5.0</v>
      </c>
      <c r="E15" s="1">
        <v>249.0</v>
      </c>
      <c r="F15" s="2">
        <v>4052.73841623786</v>
      </c>
      <c r="G15" s="1" t="s">
        <v>59</v>
      </c>
      <c r="H15" s="1">
        <v>80.0</v>
      </c>
      <c r="I15" s="1">
        <v>8.0</v>
      </c>
      <c r="J15" s="1">
        <v>48.0</v>
      </c>
      <c r="K15" s="1">
        <v>9.0</v>
      </c>
      <c r="L15" s="1" t="s">
        <v>40</v>
      </c>
      <c r="M15" s="3">
        <v>9.53728306110833</v>
      </c>
      <c r="N15" s="1" t="s">
        <v>48</v>
      </c>
      <c r="O15" s="1" t="s">
        <v>57</v>
      </c>
      <c r="P15" s="1">
        <v>23.0</v>
      </c>
      <c r="Q15" s="1">
        <v>173.0</v>
      </c>
      <c r="R15" s="1">
        <v>10.0</v>
      </c>
      <c r="S15" s="3">
        <v>97.8290501101732</v>
      </c>
      <c r="T15" s="1" t="s">
        <v>34</v>
      </c>
      <c r="U15" s="2">
        <v>1.63107423007153</v>
      </c>
      <c r="V15" s="1" t="s">
        <v>35</v>
      </c>
      <c r="W15" s="1" t="s">
        <v>36</v>
      </c>
      <c r="X15" s="3">
        <v>547.241005160968</v>
      </c>
      <c r="Y15" s="4">
        <f t="shared" si="1"/>
        <v>1292.831465</v>
      </c>
      <c r="Z15" s="5" t="str">
        <f t="shared" si="2"/>
        <v>Medium</v>
      </c>
      <c r="AA15" s="5" t="str">
        <f t="shared" si="3"/>
        <v>Delayed</v>
      </c>
      <c r="AB15" s="5" t="str">
        <f t="shared" si="4"/>
        <v>Low</v>
      </c>
    </row>
    <row r="16">
      <c r="A16" s="1" t="s">
        <v>37</v>
      </c>
      <c r="B16" s="1" t="s">
        <v>72</v>
      </c>
      <c r="C16" s="2">
        <v>99.1713286386241</v>
      </c>
      <c r="D16" s="1">
        <v>26.0</v>
      </c>
      <c r="E16" s="1">
        <v>562.0</v>
      </c>
      <c r="F16" s="2">
        <v>8653.5709264698</v>
      </c>
      <c r="G16" s="1" t="s">
        <v>30</v>
      </c>
      <c r="H16" s="1">
        <v>54.0</v>
      </c>
      <c r="I16" s="1">
        <v>29.0</v>
      </c>
      <c r="J16" s="1">
        <v>78.0</v>
      </c>
      <c r="K16" s="1">
        <v>5.0</v>
      </c>
      <c r="L16" s="1" t="s">
        <v>31</v>
      </c>
      <c r="M16" s="3">
        <v>2.03977018944933</v>
      </c>
      <c r="N16" s="1" t="s">
        <v>43</v>
      </c>
      <c r="O16" s="1" t="s">
        <v>49</v>
      </c>
      <c r="P16" s="1">
        <v>25.0</v>
      </c>
      <c r="Q16" s="1">
        <v>558.0</v>
      </c>
      <c r="R16" s="1">
        <v>14.0</v>
      </c>
      <c r="S16" s="3">
        <v>5.79143662986298</v>
      </c>
      <c r="T16" s="1" t="s">
        <v>34</v>
      </c>
      <c r="U16" s="2">
        <v>0.100682851565093</v>
      </c>
      <c r="V16" s="1" t="s">
        <v>44</v>
      </c>
      <c r="W16" s="1" t="s">
        <v>36</v>
      </c>
      <c r="X16" s="3">
        <v>929.235289960889</v>
      </c>
      <c r="Y16" s="4">
        <f t="shared" si="1"/>
        <v>5355.251746</v>
      </c>
      <c r="Z16" s="5" t="str">
        <f t="shared" si="2"/>
        <v>Slow</v>
      </c>
      <c r="AA16" s="5" t="str">
        <f t="shared" si="3"/>
        <v>On Time</v>
      </c>
      <c r="AB16" s="5" t="str">
        <f t="shared" si="4"/>
        <v>Low</v>
      </c>
    </row>
    <row r="17">
      <c r="A17" s="1" t="s">
        <v>37</v>
      </c>
      <c r="B17" s="1" t="s">
        <v>73</v>
      </c>
      <c r="C17" s="2">
        <v>36.9892449286269</v>
      </c>
      <c r="D17" s="1">
        <v>94.0</v>
      </c>
      <c r="E17" s="1">
        <v>469.0</v>
      </c>
      <c r="F17" s="2">
        <v>5442.08678539767</v>
      </c>
      <c r="G17" s="1" t="s">
        <v>30</v>
      </c>
      <c r="H17" s="1">
        <v>9.0</v>
      </c>
      <c r="I17" s="1">
        <v>8.0</v>
      </c>
      <c r="J17" s="1">
        <v>69.0</v>
      </c>
      <c r="K17" s="1">
        <v>7.0</v>
      </c>
      <c r="L17" s="1" t="s">
        <v>31</v>
      </c>
      <c r="M17" s="3">
        <v>2.4220397232752</v>
      </c>
      <c r="N17" s="1" t="s">
        <v>43</v>
      </c>
      <c r="O17" s="1" t="s">
        <v>57</v>
      </c>
      <c r="P17" s="1">
        <v>14.0</v>
      </c>
      <c r="Q17" s="1">
        <v>580.0</v>
      </c>
      <c r="R17" s="1">
        <v>7.0</v>
      </c>
      <c r="S17" s="3">
        <v>97.1212817514743</v>
      </c>
      <c r="T17" s="1" t="s">
        <v>68</v>
      </c>
      <c r="U17" s="2">
        <v>2.26440576119854</v>
      </c>
      <c r="V17" s="1" t="s">
        <v>60</v>
      </c>
      <c r="W17" s="1" t="s">
        <v>36</v>
      </c>
      <c r="X17" s="3">
        <v>127.861800001625</v>
      </c>
      <c r="Y17" s="4">
        <f t="shared" si="1"/>
        <v>332.9032044</v>
      </c>
      <c r="Z17" s="5" t="str">
        <f t="shared" si="2"/>
        <v>Medium</v>
      </c>
      <c r="AA17" s="5" t="str">
        <f t="shared" si="3"/>
        <v>On Time</v>
      </c>
      <c r="AB17" s="5" t="str">
        <f t="shared" si="4"/>
        <v>Low</v>
      </c>
    </row>
    <row r="18">
      <c r="A18" s="1" t="s">
        <v>37</v>
      </c>
      <c r="B18" s="1" t="s">
        <v>74</v>
      </c>
      <c r="C18" s="2">
        <v>7.54717210979127</v>
      </c>
      <c r="D18" s="1">
        <v>74.0</v>
      </c>
      <c r="E18" s="1">
        <v>280.0</v>
      </c>
      <c r="F18" s="2">
        <v>6453.79796817628</v>
      </c>
      <c r="G18" s="1" t="s">
        <v>39</v>
      </c>
      <c r="H18" s="1">
        <v>2.0</v>
      </c>
      <c r="I18" s="1">
        <v>5.0</v>
      </c>
      <c r="J18" s="1">
        <v>78.0</v>
      </c>
      <c r="K18" s="1">
        <v>1.0</v>
      </c>
      <c r="L18" s="1" t="s">
        <v>31</v>
      </c>
      <c r="M18" s="3">
        <v>4.1913245857055</v>
      </c>
      <c r="N18" s="1" t="s">
        <v>43</v>
      </c>
      <c r="O18" s="1" t="s">
        <v>57</v>
      </c>
      <c r="P18" s="1">
        <v>3.0</v>
      </c>
      <c r="Q18" s="1">
        <v>399.0</v>
      </c>
      <c r="R18" s="1">
        <v>21.0</v>
      </c>
      <c r="S18" s="3">
        <v>77.10634249785</v>
      </c>
      <c r="T18" s="1" t="s">
        <v>68</v>
      </c>
      <c r="U18" s="2">
        <v>1.01256308925804</v>
      </c>
      <c r="V18" s="1" t="s">
        <v>44</v>
      </c>
      <c r="W18" s="1" t="s">
        <v>52</v>
      </c>
      <c r="X18" s="3">
        <v>865.52577977124</v>
      </c>
      <c r="Y18" s="4">
        <f t="shared" si="1"/>
        <v>15.09434422</v>
      </c>
      <c r="Z18" s="5" t="str">
        <f t="shared" si="2"/>
        <v>Fast</v>
      </c>
      <c r="AA18" s="5" t="str">
        <f t="shared" si="3"/>
        <v>On Time</v>
      </c>
      <c r="AB18" s="5" t="str">
        <f t="shared" si="4"/>
        <v>Low</v>
      </c>
    </row>
    <row r="19">
      <c r="A19" s="1" t="s">
        <v>61</v>
      </c>
      <c r="B19" s="1" t="s">
        <v>75</v>
      </c>
      <c r="C19" s="2">
        <v>81.462534369237</v>
      </c>
      <c r="D19" s="1">
        <v>82.0</v>
      </c>
      <c r="E19" s="1">
        <v>126.0</v>
      </c>
      <c r="F19" s="2">
        <v>2629.39643484526</v>
      </c>
      <c r="G19" s="1" t="s">
        <v>39</v>
      </c>
      <c r="H19" s="1">
        <v>45.0</v>
      </c>
      <c r="I19" s="1">
        <v>17.0</v>
      </c>
      <c r="J19" s="1">
        <v>85.0</v>
      </c>
      <c r="K19" s="1">
        <v>9.0</v>
      </c>
      <c r="L19" s="1" t="s">
        <v>47</v>
      </c>
      <c r="M19" s="3">
        <v>3.58541895823234</v>
      </c>
      <c r="N19" s="1" t="s">
        <v>43</v>
      </c>
      <c r="O19" s="1" t="s">
        <v>66</v>
      </c>
      <c r="P19" s="1">
        <v>7.0</v>
      </c>
      <c r="Q19" s="1">
        <v>453.0</v>
      </c>
      <c r="R19" s="1">
        <v>16.0</v>
      </c>
      <c r="S19" s="3">
        <v>47.6796803683553</v>
      </c>
      <c r="T19" s="1" t="s">
        <v>50</v>
      </c>
      <c r="U19" s="2">
        <v>0.102020754918176</v>
      </c>
      <c r="V19" s="1" t="s">
        <v>44</v>
      </c>
      <c r="W19" s="1" t="s">
        <v>45</v>
      </c>
      <c r="X19" s="3">
        <v>670.93439079241</v>
      </c>
      <c r="Y19" s="4">
        <f t="shared" si="1"/>
        <v>3665.814047</v>
      </c>
      <c r="Z19" s="5" t="str">
        <f t="shared" si="2"/>
        <v>Slow</v>
      </c>
      <c r="AA19" s="5" t="str">
        <f t="shared" si="3"/>
        <v>Delayed</v>
      </c>
      <c r="AB19" s="5" t="str">
        <f t="shared" si="4"/>
        <v>Low</v>
      </c>
    </row>
    <row r="20">
      <c r="A20" s="1" t="s">
        <v>28</v>
      </c>
      <c r="B20" s="1" t="s">
        <v>76</v>
      </c>
      <c r="C20" s="2">
        <v>36.4436277704609</v>
      </c>
      <c r="D20" s="1">
        <v>23.0</v>
      </c>
      <c r="E20" s="1">
        <v>620.0</v>
      </c>
      <c r="F20" s="2">
        <v>9364.67350507617</v>
      </c>
      <c r="G20" s="1" t="s">
        <v>42</v>
      </c>
      <c r="H20" s="1">
        <v>10.0</v>
      </c>
      <c r="I20" s="1">
        <v>10.0</v>
      </c>
      <c r="J20" s="1">
        <v>46.0</v>
      </c>
      <c r="K20" s="1">
        <v>8.0</v>
      </c>
      <c r="L20" s="1" t="s">
        <v>47</v>
      </c>
      <c r="M20" s="3">
        <v>4.3392247141107</v>
      </c>
      <c r="N20" s="1" t="s">
        <v>65</v>
      </c>
      <c r="O20" s="1" t="s">
        <v>49</v>
      </c>
      <c r="P20" s="1">
        <v>18.0</v>
      </c>
      <c r="Q20" s="1">
        <v>374.0</v>
      </c>
      <c r="R20" s="1">
        <v>17.0</v>
      </c>
      <c r="S20" s="3">
        <v>27.1079808548439</v>
      </c>
      <c r="T20" s="1" t="s">
        <v>34</v>
      </c>
      <c r="U20" s="2">
        <v>2.23193911072926</v>
      </c>
      <c r="V20" s="1" t="s">
        <v>60</v>
      </c>
      <c r="W20" s="1" t="s">
        <v>52</v>
      </c>
      <c r="X20" s="3">
        <v>593.480258720651</v>
      </c>
      <c r="Y20" s="4">
        <f t="shared" si="1"/>
        <v>364.4362777</v>
      </c>
      <c r="Z20" s="5" t="str">
        <f t="shared" si="2"/>
        <v>Medium</v>
      </c>
      <c r="AA20" s="5" t="str">
        <f t="shared" si="3"/>
        <v>Delayed</v>
      </c>
      <c r="AB20" s="5" t="str">
        <f t="shared" si="4"/>
        <v>Low</v>
      </c>
    </row>
    <row r="21">
      <c r="A21" s="1" t="s">
        <v>37</v>
      </c>
      <c r="B21" s="1" t="s">
        <v>77</v>
      </c>
      <c r="C21" s="2">
        <v>51.1238700879647</v>
      </c>
      <c r="D21" s="1">
        <v>100.0</v>
      </c>
      <c r="E21" s="1">
        <v>187.0</v>
      </c>
      <c r="F21" s="2">
        <v>2553.49558499121</v>
      </c>
      <c r="G21" s="1" t="s">
        <v>42</v>
      </c>
      <c r="H21" s="1">
        <v>48.0</v>
      </c>
      <c r="I21" s="1">
        <v>11.0</v>
      </c>
      <c r="J21" s="1">
        <v>94.0</v>
      </c>
      <c r="K21" s="1">
        <v>3.0</v>
      </c>
      <c r="L21" s="1" t="s">
        <v>40</v>
      </c>
      <c r="M21" s="3">
        <v>4.74263588284187</v>
      </c>
      <c r="N21" s="1" t="s">
        <v>56</v>
      </c>
      <c r="O21" s="1" t="s">
        <v>66</v>
      </c>
      <c r="P21" s="1">
        <v>20.0</v>
      </c>
      <c r="Q21" s="1">
        <v>694.0</v>
      </c>
      <c r="R21" s="1">
        <v>16.0</v>
      </c>
      <c r="S21" s="3">
        <v>82.3733205879902</v>
      </c>
      <c r="T21" s="1" t="s">
        <v>50</v>
      </c>
      <c r="U21" s="2">
        <v>3.64645086541702</v>
      </c>
      <c r="V21" s="1" t="s">
        <v>35</v>
      </c>
      <c r="W21" s="1" t="s">
        <v>45</v>
      </c>
      <c r="X21" s="3">
        <v>477.307631090903</v>
      </c>
      <c r="Y21" s="4">
        <f t="shared" si="1"/>
        <v>2453.945764</v>
      </c>
      <c r="Z21" s="5" t="str">
        <f t="shared" si="2"/>
        <v>Slow</v>
      </c>
      <c r="AA21" s="5" t="str">
        <f t="shared" si="3"/>
        <v>On Time</v>
      </c>
      <c r="AB21" s="5" t="str">
        <f t="shared" si="4"/>
        <v>Low</v>
      </c>
    </row>
    <row r="22">
      <c r="A22" s="1" t="s">
        <v>37</v>
      </c>
      <c r="B22" s="1" t="s">
        <v>78</v>
      </c>
      <c r="C22" s="2">
        <v>96.3410724399633</v>
      </c>
      <c r="D22" s="1">
        <v>22.0</v>
      </c>
      <c r="E22" s="1">
        <v>320.0</v>
      </c>
      <c r="F22" s="2">
        <v>8128.02769685119</v>
      </c>
      <c r="G22" s="1" t="s">
        <v>42</v>
      </c>
      <c r="H22" s="1">
        <v>27.0</v>
      </c>
      <c r="I22" s="1">
        <v>12.0</v>
      </c>
      <c r="J22" s="1">
        <v>68.0</v>
      </c>
      <c r="K22" s="1">
        <v>6.0</v>
      </c>
      <c r="L22" s="1" t="s">
        <v>40</v>
      </c>
      <c r="M22" s="3">
        <v>8.87833465092684</v>
      </c>
      <c r="N22" s="1" t="s">
        <v>43</v>
      </c>
      <c r="O22" s="1" t="s">
        <v>66</v>
      </c>
      <c r="P22" s="1">
        <v>29.0</v>
      </c>
      <c r="Q22" s="1">
        <v>309.0</v>
      </c>
      <c r="R22" s="1">
        <v>6.0</v>
      </c>
      <c r="S22" s="3">
        <v>65.6862596084886</v>
      </c>
      <c r="T22" s="1" t="s">
        <v>68</v>
      </c>
      <c r="U22" s="2">
        <v>4.23141657353453</v>
      </c>
      <c r="V22" s="1" t="s">
        <v>44</v>
      </c>
      <c r="W22" s="1" t="s">
        <v>36</v>
      </c>
      <c r="X22" s="3">
        <v>493.871215316205</v>
      </c>
      <c r="Y22" s="4">
        <f t="shared" si="1"/>
        <v>2601.208956</v>
      </c>
      <c r="Z22" s="5" t="str">
        <f t="shared" si="2"/>
        <v>Slow</v>
      </c>
      <c r="AA22" s="5" t="str">
        <f t="shared" si="3"/>
        <v>On Time</v>
      </c>
      <c r="AB22" s="5" t="str">
        <f t="shared" si="4"/>
        <v>Low</v>
      </c>
    </row>
    <row r="23">
      <c r="A23" s="1" t="s">
        <v>61</v>
      </c>
      <c r="B23" s="1" t="s">
        <v>79</v>
      </c>
      <c r="C23" s="2">
        <v>84.8938689849508</v>
      </c>
      <c r="D23" s="1">
        <v>60.0</v>
      </c>
      <c r="E23" s="1">
        <v>601.0</v>
      </c>
      <c r="F23" s="2">
        <v>7087.05269635743</v>
      </c>
      <c r="G23" s="1" t="s">
        <v>42</v>
      </c>
      <c r="H23" s="1">
        <v>69.0</v>
      </c>
      <c r="I23" s="1">
        <v>25.0</v>
      </c>
      <c r="J23" s="1">
        <v>7.0</v>
      </c>
      <c r="K23" s="1">
        <v>6.0</v>
      </c>
      <c r="L23" s="1" t="s">
        <v>31</v>
      </c>
      <c r="M23" s="3">
        <v>6.03788376921829</v>
      </c>
      <c r="N23" s="1" t="s">
        <v>48</v>
      </c>
      <c r="O23" s="1" t="s">
        <v>66</v>
      </c>
      <c r="P23" s="1">
        <v>19.0</v>
      </c>
      <c r="Q23" s="1">
        <v>791.0</v>
      </c>
      <c r="R23" s="1">
        <v>4.0</v>
      </c>
      <c r="S23" s="3">
        <v>61.7357289541609</v>
      </c>
      <c r="T23" s="1" t="s">
        <v>34</v>
      </c>
      <c r="U23" s="2">
        <v>0.0186075676310149</v>
      </c>
      <c r="V23" s="1" t="s">
        <v>44</v>
      </c>
      <c r="W23" s="1" t="s">
        <v>45</v>
      </c>
      <c r="X23" s="3">
        <v>523.360914720158</v>
      </c>
      <c r="Y23" s="4">
        <f t="shared" si="1"/>
        <v>5857.67696</v>
      </c>
      <c r="Z23" s="5" t="str">
        <f t="shared" si="2"/>
        <v>Slow</v>
      </c>
      <c r="AA23" s="5" t="str">
        <f t="shared" si="3"/>
        <v>On Time</v>
      </c>
      <c r="AB23" s="5" t="str">
        <f t="shared" si="4"/>
        <v>Low</v>
      </c>
    </row>
    <row r="24">
      <c r="A24" s="1" t="s">
        <v>28</v>
      </c>
      <c r="B24" s="1" t="s">
        <v>80</v>
      </c>
      <c r="C24" s="2">
        <v>27.6797808865019</v>
      </c>
      <c r="D24" s="1">
        <v>55.0</v>
      </c>
      <c r="E24" s="1">
        <v>884.0</v>
      </c>
      <c r="F24" s="2">
        <v>2390.80786655617</v>
      </c>
      <c r="G24" s="1" t="s">
        <v>42</v>
      </c>
      <c r="H24" s="1">
        <v>71.0</v>
      </c>
      <c r="I24" s="1">
        <v>1.0</v>
      </c>
      <c r="J24" s="1">
        <v>63.0</v>
      </c>
      <c r="K24" s="1">
        <v>10.0</v>
      </c>
      <c r="L24" s="1" t="s">
        <v>40</v>
      </c>
      <c r="M24" s="3">
        <v>9.56764892092304</v>
      </c>
      <c r="N24" s="1" t="s">
        <v>56</v>
      </c>
      <c r="O24" s="1" t="s">
        <v>49</v>
      </c>
      <c r="P24" s="1">
        <v>22.0</v>
      </c>
      <c r="Q24" s="1">
        <v>780.0</v>
      </c>
      <c r="R24" s="1">
        <v>28.0</v>
      </c>
      <c r="S24" s="3">
        <v>50.1208396129773</v>
      </c>
      <c r="T24" s="1" t="s">
        <v>50</v>
      </c>
      <c r="U24" s="2">
        <v>2.59127547321111</v>
      </c>
      <c r="V24" s="1" t="s">
        <v>51</v>
      </c>
      <c r="W24" s="1" t="s">
        <v>45</v>
      </c>
      <c r="X24" s="3">
        <v>205.571995826947</v>
      </c>
      <c r="Y24" s="4">
        <f t="shared" si="1"/>
        <v>1965.264443</v>
      </c>
      <c r="Z24" s="5" t="str">
        <f t="shared" si="2"/>
        <v>Fast</v>
      </c>
      <c r="AA24" s="5" t="str">
        <f t="shared" si="3"/>
        <v>Delayed</v>
      </c>
      <c r="AB24" s="5" t="str">
        <f t="shared" si="4"/>
        <v>Low</v>
      </c>
    </row>
    <row r="25">
      <c r="A25" s="1" t="s">
        <v>61</v>
      </c>
      <c r="B25" s="1" t="s">
        <v>81</v>
      </c>
      <c r="C25" s="2">
        <v>4.32434118586416</v>
      </c>
      <c r="D25" s="1">
        <v>30.0</v>
      </c>
      <c r="E25" s="1">
        <v>391.0</v>
      </c>
      <c r="F25" s="2">
        <v>8858.36757101148</v>
      </c>
      <c r="G25" s="1" t="s">
        <v>42</v>
      </c>
      <c r="H25" s="1">
        <v>84.0</v>
      </c>
      <c r="I25" s="1">
        <v>5.0</v>
      </c>
      <c r="J25" s="1">
        <v>29.0</v>
      </c>
      <c r="K25" s="1">
        <v>7.0</v>
      </c>
      <c r="L25" s="1" t="s">
        <v>40</v>
      </c>
      <c r="M25" s="3">
        <v>2.92485760114555</v>
      </c>
      <c r="N25" s="1" t="s">
        <v>48</v>
      </c>
      <c r="O25" s="1" t="s">
        <v>49</v>
      </c>
      <c r="P25" s="1">
        <v>11.0</v>
      </c>
      <c r="Q25" s="1">
        <v>568.0</v>
      </c>
      <c r="R25" s="1">
        <v>29.0</v>
      </c>
      <c r="S25" s="3">
        <v>98.6099572427038</v>
      </c>
      <c r="T25" s="1" t="s">
        <v>34</v>
      </c>
      <c r="U25" s="2">
        <v>1.34229156272273</v>
      </c>
      <c r="V25" s="1" t="s">
        <v>51</v>
      </c>
      <c r="W25" s="1" t="s">
        <v>52</v>
      </c>
      <c r="X25" s="3">
        <v>196.329446112412</v>
      </c>
      <c r="Y25" s="4">
        <f t="shared" si="1"/>
        <v>363.2446596</v>
      </c>
      <c r="Z25" s="5" t="str">
        <f t="shared" si="2"/>
        <v>Fast</v>
      </c>
      <c r="AA25" s="5" t="str">
        <f t="shared" si="3"/>
        <v>On Time</v>
      </c>
      <c r="AB25" s="5" t="str">
        <f t="shared" si="4"/>
        <v>Low</v>
      </c>
    </row>
    <row r="26">
      <c r="A26" s="1" t="s">
        <v>28</v>
      </c>
      <c r="B26" s="1" t="s">
        <v>82</v>
      </c>
      <c r="C26" s="2">
        <v>4.1563083593111</v>
      </c>
      <c r="D26" s="1">
        <v>32.0</v>
      </c>
      <c r="E26" s="1">
        <v>209.0</v>
      </c>
      <c r="F26" s="2">
        <v>9049.07786093989</v>
      </c>
      <c r="G26" s="1" t="s">
        <v>59</v>
      </c>
      <c r="H26" s="1">
        <v>4.0</v>
      </c>
      <c r="I26" s="1">
        <v>26.0</v>
      </c>
      <c r="J26" s="1">
        <v>2.0</v>
      </c>
      <c r="K26" s="1">
        <v>8.0</v>
      </c>
      <c r="L26" s="1" t="s">
        <v>47</v>
      </c>
      <c r="M26" s="3">
        <v>9.74129168928436</v>
      </c>
      <c r="N26" s="1" t="s">
        <v>65</v>
      </c>
      <c r="O26" s="1" t="s">
        <v>57</v>
      </c>
      <c r="P26" s="1">
        <v>28.0</v>
      </c>
      <c r="Q26" s="1">
        <v>447.0</v>
      </c>
      <c r="R26" s="1">
        <v>3.0</v>
      </c>
      <c r="S26" s="3">
        <v>40.3823597029248</v>
      </c>
      <c r="T26" s="1" t="s">
        <v>34</v>
      </c>
      <c r="U26" s="2">
        <v>3.69131029262872</v>
      </c>
      <c r="V26" s="1" t="s">
        <v>44</v>
      </c>
      <c r="W26" s="1" t="s">
        <v>52</v>
      </c>
      <c r="X26" s="3">
        <v>758.724772602938</v>
      </c>
      <c r="Y26" s="4">
        <f t="shared" si="1"/>
        <v>16.62523344</v>
      </c>
      <c r="Z26" s="5" t="str">
        <f t="shared" si="2"/>
        <v>Slow</v>
      </c>
      <c r="AA26" s="5" t="str">
        <f t="shared" si="3"/>
        <v>Delayed</v>
      </c>
      <c r="AB26" s="5" t="str">
        <f t="shared" si="4"/>
        <v>Low</v>
      </c>
    </row>
    <row r="27">
      <c r="A27" s="1" t="s">
        <v>28</v>
      </c>
      <c r="B27" s="1" t="s">
        <v>83</v>
      </c>
      <c r="C27" s="2">
        <v>39.6293439850926</v>
      </c>
      <c r="D27" s="1">
        <v>73.0</v>
      </c>
      <c r="E27" s="1">
        <v>142.0</v>
      </c>
      <c r="F27" s="2">
        <v>2174.77705435065</v>
      </c>
      <c r="G27" s="1" t="s">
        <v>59</v>
      </c>
      <c r="H27" s="1">
        <v>82.0</v>
      </c>
      <c r="I27" s="1">
        <v>11.0</v>
      </c>
      <c r="J27" s="1">
        <v>52.0</v>
      </c>
      <c r="K27" s="1">
        <v>3.0</v>
      </c>
      <c r="L27" s="1" t="s">
        <v>47</v>
      </c>
      <c r="M27" s="3">
        <v>2.23107368128172</v>
      </c>
      <c r="N27" s="1" t="s">
        <v>56</v>
      </c>
      <c r="O27" s="1" t="s">
        <v>49</v>
      </c>
      <c r="P27" s="1">
        <v>19.0</v>
      </c>
      <c r="Q27" s="1">
        <v>934.0</v>
      </c>
      <c r="R27" s="1">
        <v>23.0</v>
      </c>
      <c r="S27" s="3">
        <v>78.2803831184153</v>
      </c>
      <c r="T27" s="1" t="s">
        <v>34</v>
      </c>
      <c r="U27" s="2">
        <v>3.79723121711418</v>
      </c>
      <c r="V27" s="1" t="s">
        <v>35</v>
      </c>
      <c r="W27" s="1" t="s">
        <v>36</v>
      </c>
      <c r="X27" s="3">
        <v>458.535945739209</v>
      </c>
      <c r="Y27" s="4">
        <f t="shared" si="1"/>
        <v>3249.606207</v>
      </c>
      <c r="Z27" s="5" t="str">
        <f t="shared" si="2"/>
        <v>Slow</v>
      </c>
      <c r="AA27" s="5" t="str">
        <f t="shared" si="3"/>
        <v>On Time</v>
      </c>
      <c r="AB27" s="5" t="str">
        <f t="shared" si="4"/>
        <v>Low</v>
      </c>
    </row>
    <row r="28">
      <c r="A28" s="1" t="s">
        <v>28</v>
      </c>
      <c r="B28" s="1" t="s">
        <v>84</v>
      </c>
      <c r="C28" s="2">
        <v>97.4469466178928</v>
      </c>
      <c r="D28" s="1">
        <v>9.0</v>
      </c>
      <c r="E28" s="1">
        <v>353.0</v>
      </c>
      <c r="F28" s="2">
        <v>3716.49332589403</v>
      </c>
      <c r="G28" s="1" t="s">
        <v>59</v>
      </c>
      <c r="H28" s="1">
        <v>59.0</v>
      </c>
      <c r="I28" s="1">
        <v>16.0</v>
      </c>
      <c r="J28" s="1">
        <v>48.0</v>
      </c>
      <c r="K28" s="1">
        <v>4.0</v>
      </c>
      <c r="L28" s="1" t="s">
        <v>31</v>
      </c>
      <c r="M28" s="3">
        <v>6.50754862107855</v>
      </c>
      <c r="N28" s="1" t="s">
        <v>65</v>
      </c>
      <c r="O28" s="1" t="s">
        <v>57</v>
      </c>
      <c r="P28" s="1">
        <v>26.0</v>
      </c>
      <c r="Q28" s="1">
        <v>171.0</v>
      </c>
      <c r="R28" s="1">
        <v>4.0</v>
      </c>
      <c r="S28" s="3">
        <v>15.9722297571817</v>
      </c>
      <c r="T28" s="1" t="s">
        <v>68</v>
      </c>
      <c r="U28" s="2">
        <v>2.11931973672492</v>
      </c>
      <c r="V28" s="1" t="s">
        <v>51</v>
      </c>
      <c r="W28" s="1" t="s">
        <v>52</v>
      </c>
      <c r="X28" s="3">
        <v>617.866916458377</v>
      </c>
      <c r="Y28" s="4">
        <f t="shared" si="1"/>
        <v>5749.36985</v>
      </c>
      <c r="Z28" s="5" t="str">
        <f t="shared" si="2"/>
        <v>Slow</v>
      </c>
      <c r="AA28" s="5" t="str">
        <f t="shared" si="3"/>
        <v>On Time</v>
      </c>
      <c r="AB28" s="5" t="str">
        <f t="shared" si="4"/>
        <v>Low</v>
      </c>
    </row>
    <row r="29">
      <c r="A29" s="1" t="s">
        <v>61</v>
      </c>
      <c r="B29" s="1" t="s">
        <v>85</v>
      </c>
      <c r="C29" s="2">
        <v>92.557360812402</v>
      </c>
      <c r="D29" s="1">
        <v>42.0</v>
      </c>
      <c r="E29" s="1">
        <v>352.0</v>
      </c>
      <c r="F29" s="2">
        <v>2686.45722357598</v>
      </c>
      <c r="G29" s="1" t="s">
        <v>42</v>
      </c>
      <c r="H29" s="1">
        <v>47.0</v>
      </c>
      <c r="I29" s="1">
        <v>9.0</v>
      </c>
      <c r="J29" s="1">
        <v>62.0</v>
      </c>
      <c r="K29" s="1">
        <v>8.0</v>
      </c>
      <c r="L29" s="1" t="s">
        <v>47</v>
      </c>
      <c r="M29" s="3">
        <v>7.40675095299807</v>
      </c>
      <c r="N29" s="1" t="s">
        <v>48</v>
      </c>
      <c r="O29" s="1" t="s">
        <v>33</v>
      </c>
      <c r="P29" s="1">
        <v>25.0</v>
      </c>
      <c r="Q29" s="1">
        <v>291.0</v>
      </c>
      <c r="R29" s="1">
        <v>4.0</v>
      </c>
      <c r="S29" s="3">
        <v>10.5282450700421</v>
      </c>
      <c r="T29" s="1" t="s">
        <v>50</v>
      </c>
      <c r="U29" s="2">
        <v>2.86466783788337</v>
      </c>
      <c r="V29" s="1" t="s">
        <v>60</v>
      </c>
      <c r="W29" s="1" t="s">
        <v>36</v>
      </c>
      <c r="X29" s="3">
        <v>762.459182155683</v>
      </c>
      <c r="Y29" s="4">
        <f t="shared" si="1"/>
        <v>4350.195958</v>
      </c>
      <c r="Z29" s="5" t="str">
        <f t="shared" si="2"/>
        <v>Medium</v>
      </c>
      <c r="AA29" s="5" t="str">
        <f t="shared" si="3"/>
        <v>Delayed</v>
      </c>
      <c r="AB29" s="5" t="str">
        <f t="shared" si="4"/>
        <v>Low</v>
      </c>
    </row>
    <row r="30">
      <c r="A30" s="1" t="s">
        <v>61</v>
      </c>
      <c r="B30" s="1" t="s">
        <v>86</v>
      </c>
      <c r="C30" s="2">
        <v>2.39727470559714</v>
      </c>
      <c r="D30" s="1">
        <v>12.0</v>
      </c>
      <c r="E30" s="1">
        <v>394.0</v>
      </c>
      <c r="F30" s="2">
        <v>6117.32461508399</v>
      </c>
      <c r="G30" s="1" t="s">
        <v>39</v>
      </c>
      <c r="H30" s="1">
        <v>48.0</v>
      </c>
      <c r="I30" s="1">
        <v>15.0</v>
      </c>
      <c r="J30" s="1">
        <v>24.0</v>
      </c>
      <c r="K30" s="1">
        <v>4.0</v>
      </c>
      <c r="L30" s="1" t="s">
        <v>31</v>
      </c>
      <c r="M30" s="3">
        <v>9.89814050806922</v>
      </c>
      <c r="N30" s="1" t="s">
        <v>43</v>
      </c>
      <c r="O30" s="1" t="s">
        <v>33</v>
      </c>
      <c r="P30" s="1">
        <v>13.0</v>
      </c>
      <c r="Q30" s="1">
        <v>171.0</v>
      </c>
      <c r="R30" s="1">
        <v>7.0</v>
      </c>
      <c r="S30" s="3">
        <v>59.4293818106915</v>
      </c>
      <c r="T30" s="1" t="s">
        <v>50</v>
      </c>
      <c r="U30" s="2">
        <v>0.815757079295672</v>
      </c>
      <c r="V30" s="1" t="s">
        <v>44</v>
      </c>
      <c r="W30" s="1" t="s">
        <v>52</v>
      </c>
      <c r="X30" s="3">
        <v>123.437027511827</v>
      </c>
      <c r="Y30" s="4">
        <f t="shared" si="1"/>
        <v>115.0691859</v>
      </c>
      <c r="Z30" s="5" t="str">
        <f t="shared" si="2"/>
        <v>Slow</v>
      </c>
      <c r="AA30" s="5" t="str">
        <f t="shared" si="3"/>
        <v>On Time</v>
      </c>
      <c r="AB30" s="5" t="str">
        <f t="shared" si="4"/>
        <v>Low</v>
      </c>
    </row>
    <row r="31">
      <c r="A31" s="1" t="s">
        <v>61</v>
      </c>
      <c r="B31" s="1" t="s">
        <v>87</v>
      </c>
      <c r="C31" s="2">
        <v>63.4475591852073</v>
      </c>
      <c r="D31" s="1">
        <v>3.0</v>
      </c>
      <c r="E31" s="1">
        <v>253.0</v>
      </c>
      <c r="F31" s="2">
        <v>8318.90319461717</v>
      </c>
      <c r="G31" s="1" t="s">
        <v>39</v>
      </c>
      <c r="H31" s="1">
        <v>45.0</v>
      </c>
      <c r="I31" s="1">
        <v>5.0</v>
      </c>
      <c r="J31" s="1">
        <v>67.0</v>
      </c>
      <c r="K31" s="1">
        <v>7.0</v>
      </c>
      <c r="L31" s="1" t="s">
        <v>31</v>
      </c>
      <c r="M31" s="3">
        <v>8.10097314539703</v>
      </c>
      <c r="N31" s="1" t="s">
        <v>43</v>
      </c>
      <c r="O31" s="1" t="s">
        <v>49</v>
      </c>
      <c r="P31" s="1">
        <v>16.0</v>
      </c>
      <c r="Q31" s="1">
        <v>329.0</v>
      </c>
      <c r="R31" s="1">
        <v>7.0</v>
      </c>
      <c r="S31" s="3">
        <v>39.2928755860657</v>
      </c>
      <c r="T31" s="1" t="s">
        <v>68</v>
      </c>
      <c r="U31" s="2">
        <v>3.87809893658848</v>
      </c>
      <c r="V31" s="1" t="s">
        <v>35</v>
      </c>
      <c r="W31" s="1" t="s">
        <v>36</v>
      </c>
      <c r="X31" s="3">
        <v>764.935375940708</v>
      </c>
      <c r="Y31" s="4">
        <f t="shared" si="1"/>
        <v>2855.140163</v>
      </c>
      <c r="Z31" s="5" t="str">
        <f t="shared" si="2"/>
        <v>Fast</v>
      </c>
      <c r="AA31" s="5" t="str">
        <f t="shared" si="3"/>
        <v>On Time</v>
      </c>
      <c r="AB31" s="5" t="str">
        <f t="shared" si="4"/>
        <v>Low</v>
      </c>
    </row>
    <row r="32">
      <c r="A32" s="1" t="s">
        <v>28</v>
      </c>
      <c r="B32" s="1" t="s">
        <v>88</v>
      </c>
      <c r="C32" s="2">
        <v>8.02285921052639</v>
      </c>
      <c r="D32" s="1">
        <v>10.0</v>
      </c>
      <c r="E32" s="1">
        <v>327.0</v>
      </c>
      <c r="F32" s="2">
        <v>2766.34236686608</v>
      </c>
      <c r="G32" s="1" t="s">
        <v>59</v>
      </c>
      <c r="H32" s="1">
        <v>60.0</v>
      </c>
      <c r="I32" s="1">
        <v>26.0</v>
      </c>
      <c r="J32" s="1">
        <v>35.0</v>
      </c>
      <c r="K32" s="1">
        <v>7.0</v>
      </c>
      <c r="L32" s="1" t="s">
        <v>31</v>
      </c>
      <c r="M32" s="3">
        <v>8.95452831531801</v>
      </c>
      <c r="N32" s="1" t="s">
        <v>56</v>
      </c>
      <c r="O32" s="1" t="s">
        <v>49</v>
      </c>
      <c r="P32" s="1">
        <v>27.0</v>
      </c>
      <c r="Q32" s="1">
        <v>806.0</v>
      </c>
      <c r="R32" s="1">
        <v>30.0</v>
      </c>
      <c r="S32" s="3">
        <v>51.6348934001093</v>
      </c>
      <c r="T32" s="1" t="s">
        <v>34</v>
      </c>
      <c r="U32" s="2">
        <v>0.965394705352393</v>
      </c>
      <c r="V32" s="1" t="s">
        <v>35</v>
      </c>
      <c r="W32" s="1" t="s">
        <v>45</v>
      </c>
      <c r="X32" s="3">
        <v>880.080988247161</v>
      </c>
      <c r="Y32" s="4">
        <f t="shared" si="1"/>
        <v>481.3715526</v>
      </c>
      <c r="Z32" s="5" t="str">
        <f t="shared" si="2"/>
        <v>Slow</v>
      </c>
      <c r="AA32" s="5" t="str">
        <f t="shared" si="3"/>
        <v>On Time</v>
      </c>
      <c r="AB32" s="5" t="str">
        <f t="shared" si="4"/>
        <v>Low</v>
      </c>
    </row>
    <row r="33">
      <c r="A33" s="1" t="s">
        <v>37</v>
      </c>
      <c r="B33" s="1" t="s">
        <v>89</v>
      </c>
      <c r="C33" s="2">
        <v>50.8473930517187</v>
      </c>
      <c r="D33" s="1">
        <v>28.0</v>
      </c>
      <c r="E33" s="1">
        <v>168.0</v>
      </c>
      <c r="F33" s="2">
        <v>9655.13510271939</v>
      </c>
      <c r="G33" s="1" t="s">
        <v>59</v>
      </c>
      <c r="H33" s="1">
        <v>6.0</v>
      </c>
      <c r="I33" s="1">
        <v>17.0</v>
      </c>
      <c r="J33" s="1">
        <v>44.0</v>
      </c>
      <c r="K33" s="1">
        <v>4.0</v>
      </c>
      <c r="L33" s="1" t="s">
        <v>31</v>
      </c>
      <c r="M33" s="3">
        <v>2.6796609649814</v>
      </c>
      <c r="N33" s="1" t="s">
        <v>32</v>
      </c>
      <c r="O33" s="1" t="s">
        <v>66</v>
      </c>
      <c r="P33" s="1">
        <v>24.0</v>
      </c>
      <c r="Q33" s="1">
        <v>461.0</v>
      </c>
      <c r="R33" s="1">
        <v>8.0</v>
      </c>
      <c r="S33" s="3">
        <v>60.251145661598</v>
      </c>
      <c r="T33" s="1" t="s">
        <v>34</v>
      </c>
      <c r="U33" s="2">
        <v>2.98900000665507</v>
      </c>
      <c r="V33" s="1" t="s">
        <v>51</v>
      </c>
      <c r="W33" s="1" t="s">
        <v>45</v>
      </c>
      <c r="X33" s="3">
        <v>609.379206618426</v>
      </c>
      <c r="Y33" s="4">
        <f t="shared" si="1"/>
        <v>305.0843583</v>
      </c>
      <c r="Z33" s="5" t="str">
        <f t="shared" si="2"/>
        <v>Slow</v>
      </c>
      <c r="AA33" s="5" t="str">
        <f t="shared" si="3"/>
        <v>On Time</v>
      </c>
      <c r="AB33" s="5" t="str">
        <f t="shared" si="4"/>
        <v>Low</v>
      </c>
    </row>
    <row r="34">
      <c r="A34" s="1" t="s">
        <v>37</v>
      </c>
      <c r="B34" s="1" t="s">
        <v>90</v>
      </c>
      <c r="C34" s="2">
        <v>79.2099360156567</v>
      </c>
      <c r="D34" s="1">
        <v>43.0</v>
      </c>
      <c r="E34" s="1">
        <v>781.0</v>
      </c>
      <c r="F34" s="2">
        <v>9571.55048732781</v>
      </c>
      <c r="G34" s="1" t="s">
        <v>42</v>
      </c>
      <c r="H34" s="1">
        <v>89.0</v>
      </c>
      <c r="I34" s="1">
        <v>13.0</v>
      </c>
      <c r="J34" s="1">
        <v>64.0</v>
      </c>
      <c r="K34" s="1">
        <v>4.0</v>
      </c>
      <c r="L34" s="1" t="s">
        <v>47</v>
      </c>
      <c r="M34" s="3">
        <v>6.59910490123858</v>
      </c>
      <c r="N34" s="1" t="s">
        <v>32</v>
      </c>
      <c r="O34" s="1" t="s">
        <v>49</v>
      </c>
      <c r="P34" s="1">
        <v>30.0</v>
      </c>
      <c r="Q34" s="1">
        <v>737.0</v>
      </c>
      <c r="R34" s="1">
        <v>7.0</v>
      </c>
      <c r="S34" s="3">
        <v>29.6924671537497</v>
      </c>
      <c r="T34" s="1" t="s">
        <v>68</v>
      </c>
      <c r="U34" s="2">
        <v>1.94603611938611</v>
      </c>
      <c r="V34" s="1" t="s">
        <v>35</v>
      </c>
      <c r="W34" s="1" t="s">
        <v>52</v>
      </c>
      <c r="X34" s="3">
        <v>761.173909514877</v>
      </c>
      <c r="Y34" s="4">
        <f t="shared" si="1"/>
        <v>7049.684305</v>
      </c>
      <c r="Z34" s="5" t="str">
        <f t="shared" si="2"/>
        <v>Slow</v>
      </c>
      <c r="AA34" s="5" t="str">
        <f t="shared" si="3"/>
        <v>On Time</v>
      </c>
      <c r="AB34" s="5" t="str">
        <f t="shared" si="4"/>
        <v>Low</v>
      </c>
    </row>
    <row r="35">
      <c r="A35" s="1" t="s">
        <v>61</v>
      </c>
      <c r="B35" s="1" t="s">
        <v>91</v>
      </c>
      <c r="C35" s="2">
        <v>64.7954350001556</v>
      </c>
      <c r="D35" s="1">
        <v>63.0</v>
      </c>
      <c r="E35" s="1">
        <v>616.0</v>
      </c>
      <c r="F35" s="2">
        <v>5149.99835040803</v>
      </c>
      <c r="G35" s="1" t="s">
        <v>30</v>
      </c>
      <c r="H35" s="1">
        <v>4.0</v>
      </c>
      <c r="I35" s="1">
        <v>17.0</v>
      </c>
      <c r="J35" s="1">
        <v>95.0</v>
      </c>
      <c r="K35" s="1">
        <v>9.0</v>
      </c>
      <c r="L35" s="1" t="s">
        <v>47</v>
      </c>
      <c r="M35" s="3">
        <v>4.85827050343664</v>
      </c>
      <c r="N35" s="1" t="s">
        <v>48</v>
      </c>
      <c r="O35" s="1" t="s">
        <v>66</v>
      </c>
      <c r="P35" s="1">
        <v>1.0</v>
      </c>
      <c r="Q35" s="1">
        <v>251.0</v>
      </c>
      <c r="R35" s="1">
        <v>23.0</v>
      </c>
      <c r="S35" s="3">
        <v>23.8534275128961</v>
      </c>
      <c r="T35" s="1" t="s">
        <v>50</v>
      </c>
      <c r="U35" s="2">
        <v>3.54104601225092</v>
      </c>
      <c r="V35" s="1" t="s">
        <v>60</v>
      </c>
      <c r="W35" s="1" t="s">
        <v>52</v>
      </c>
      <c r="X35" s="3">
        <v>371.255295519871</v>
      </c>
      <c r="Y35" s="4">
        <f t="shared" si="1"/>
        <v>259.18174</v>
      </c>
      <c r="Z35" s="5" t="str">
        <f t="shared" si="2"/>
        <v>Slow</v>
      </c>
      <c r="AA35" s="5" t="str">
        <f t="shared" si="3"/>
        <v>Delayed</v>
      </c>
      <c r="AB35" s="5" t="str">
        <f t="shared" si="4"/>
        <v>Low</v>
      </c>
    </row>
    <row r="36">
      <c r="A36" s="1" t="s">
        <v>37</v>
      </c>
      <c r="B36" s="1" t="s">
        <v>92</v>
      </c>
      <c r="C36" s="2">
        <v>37.4675923298424</v>
      </c>
      <c r="D36" s="1">
        <v>96.0</v>
      </c>
      <c r="E36" s="1">
        <v>602.0</v>
      </c>
      <c r="F36" s="2">
        <v>9061.71089550772</v>
      </c>
      <c r="G36" s="1" t="s">
        <v>42</v>
      </c>
      <c r="H36" s="1">
        <v>1.0</v>
      </c>
      <c r="I36" s="1">
        <v>26.0</v>
      </c>
      <c r="J36" s="1">
        <v>21.0</v>
      </c>
      <c r="K36" s="1">
        <v>7.0</v>
      </c>
      <c r="L36" s="1" t="s">
        <v>40</v>
      </c>
      <c r="M36" s="3">
        <v>1.01948757082211</v>
      </c>
      <c r="N36" s="1" t="s">
        <v>43</v>
      </c>
      <c r="O36" s="1" t="s">
        <v>66</v>
      </c>
      <c r="P36" s="1">
        <v>4.0</v>
      </c>
      <c r="Q36" s="1">
        <v>452.0</v>
      </c>
      <c r="R36" s="1">
        <v>10.0</v>
      </c>
      <c r="S36" s="3">
        <v>10.7542728150293</v>
      </c>
      <c r="T36" s="1" t="s">
        <v>68</v>
      </c>
      <c r="U36" s="2">
        <v>0.646604559372054</v>
      </c>
      <c r="V36" s="1" t="s">
        <v>35</v>
      </c>
      <c r="W36" s="1" t="s">
        <v>36</v>
      </c>
      <c r="X36" s="3">
        <v>510.358000433523</v>
      </c>
      <c r="Y36" s="4">
        <f t="shared" si="1"/>
        <v>37.46759233</v>
      </c>
      <c r="Z36" s="5" t="str">
        <f t="shared" si="2"/>
        <v>Slow</v>
      </c>
      <c r="AA36" s="5" t="str">
        <f t="shared" si="3"/>
        <v>On Time</v>
      </c>
      <c r="AB36" s="5" t="str">
        <f t="shared" si="4"/>
        <v>Low</v>
      </c>
    </row>
    <row r="37">
      <c r="A37" s="1" t="s">
        <v>61</v>
      </c>
      <c r="B37" s="1" t="s">
        <v>93</v>
      </c>
      <c r="C37" s="2">
        <v>84.9577868163504</v>
      </c>
      <c r="D37" s="1">
        <v>11.0</v>
      </c>
      <c r="E37" s="1">
        <v>449.0</v>
      </c>
      <c r="F37" s="2">
        <v>6541.32934480246</v>
      </c>
      <c r="G37" s="1" t="s">
        <v>39</v>
      </c>
      <c r="H37" s="1">
        <v>42.0</v>
      </c>
      <c r="I37" s="1">
        <v>27.0</v>
      </c>
      <c r="J37" s="1">
        <v>85.0</v>
      </c>
      <c r="K37" s="1">
        <v>8.0</v>
      </c>
      <c r="L37" s="1" t="s">
        <v>47</v>
      </c>
      <c r="M37" s="3">
        <v>5.2881899903274</v>
      </c>
      <c r="N37" s="1" t="s">
        <v>43</v>
      </c>
      <c r="O37" s="1" t="s">
        <v>54</v>
      </c>
      <c r="P37" s="1">
        <v>3.0</v>
      </c>
      <c r="Q37" s="1">
        <v>367.0</v>
      </c>
      <c r="R37" s="1">
        <v>2.0</v>
      </c>
      <c r="S37" s="3">
        <v>58.0047870447437</v>
      </c>
      <c r="T37" s="1" t="s">
        <v>68</v>
      </c>
      <c r="U37" s="2">
        <v>0.541154098060581</v>
      </c>
      <c r="V37" s="1" t="s">
        <v>60</v>
      </c>
      <c r="W37" s="1" t="s">
        <v>45</v>
      </c>
      <c r="X37" s="3">
        <v>553.420471230355</v>
      </c>
      <c r="Y37" s="4">
        <f t="shared" si="1"/>
        <v>3568.227046</v>
      </c>
      <c r="Z37" s="5" t="str">
        <f t="shared" si="2"/>
        <v>Slow</v>
      </c>
      <c r="AA37" s="5" t="str">
        <f t="shared" si="3"/>
        <v>Delayed</v>
      </c>
      <c r="AB37" s="5" t="str">
        <f t="shared" si="4"/>
        <v>Low</v>
      </c>
    </row>
    <row r="38">
      <c r="A38" s="1" t="s">
        <v>37</v>
      </c>
      <c r="B38" s="1" t="s">
        <v>94</v>
      </c>
      <c r="C38" s="2">
        <v>9.81300257875405</v>
      </c>
      <c r="D38" s="1">
        <v>34.0</v>
      </c>
      <c r="E38" s="1">
        <v>963.0</v>
      </c>
      <c r="F38" s="2">
        <v>7573.40245784873</v>
      </c>
      <c r="G38" s="1" t="s">
        <v>39</v>
      </c>
      <c r="H38" s="1">
        <v>18.0</v>
      </c>
      <c r="I38" s="1">
        <v>23.0</v>
      </c>
      <c r="J38" s="1">
        <v>28.0</v>
      </c>
      <c r="K38" s="1">
        <v>3.0</v>
      </c>
      <c r="L38" s="1" t="s">
        <v>31</v>
      </c>
      <c r="M38" s="3">
        <v>2.10795126715908</v>
      </c>
      <c r="N38" s="1" t="s">
        <v>65</v>
      </c>
      <c r="O38" s="1" t="s">
        <v>54</v>
      </c>
      <c r="P38" s="1">
        <v>26.0</v>
      </c>
      <c r="Q38" s="1">
        <v>671.0</v>
      </c>
      <c r="R38" s="1">
        <v>19.0</v>
      </c>
      <c r="S38" s="3">
        <v>45.5313642371621</v>
      </c>
      <c r="T38" s="1" t="s">
        <v>50</v>
      </c>
      <c r="U38" s="2">
        <v>3.80553337924335</v>
      </c>
      <c r="V38" s="1" t="s">
        <v>44</v>
      </c>
      <c r="W38" s="1" t="s">
        <v>45</v>
      </c>
      <c r="X38" s="3">
        <v>403.80897424818</v>
      </c>
      <c r="Y38" s="4">
        <f t="shared" si="1"/>
        <v>176.6340464</v>
      </c>
      <c r="Z38" s="5" t="str">
        <f t="shared" si="2"/>
        <v>Slow</v>
      </c>
      <c r="AA38" s="5" t="str">
        <f t="shared" si="3"/>
        <v>On Time</v>
      </c>
      <c r="AB38" s="5" t="str">
        <f t="shared" si="4"/>
        <v>Low</v>
      </c>
    </row>
    <row r="39">
      <c r="A39" s="1" t="s">
        <v>37</v>
      </c>
      <c r="B39" s="1" t="s">
        <v>95</v>
      </c>
      <c r="C39" s="2">
        <v>23.3998447526143</v>
      </c>
      <c r="D39" s="1">
        <v>5.0</v>
      </c>
      <c r="E39" s="1">
        <v>963.0</v>
      </c>
      <c r="F39" s="2">
        <v>2438.33993047002</v>
      </c>
      <c r="G39" s="1" t="s">
        <v>39</v>
      </c>
      <c r="H39" s="1">
        <v>25.0</v>
      </c>
      <c r="I39" s="1">
        <v>8.0</v>
      </c>
      <c r="J39" s="1">
        <v>21.0</v>
      </c>
      <c r="K39" s="1">
        <v>9.0</v>
      </c>
      <c r="L39" s="1" t="s">
        <v>40</v>
      </c>
      <c r="M39" s="3">
        <v>1.53265527359043</v>
      </c>
      <c r="N39" s="1" t="s">
        <v>32</v>
      </c>
      <c r="O39" s="1" t="s">
        <v>49</v>
      </c>
      <c r="P39" s="1">
        <v>24.0</v>
      </c>
      <c r="Q39" s="1">
        <v>867.0</v>
      </c>
      <c r="R39" s="1">
        <v>15.0</v>
      </c>
      <c r="S39" s="3">
        <v>34.3432774650753</v>
      </c>
      <c r="T39" s="1" t="s">
        <v>34</v>
      </c>
      <c r="U39" s="2">
        <v>2.61028808484811</v>
      </c>
      <c r="V39" s="1" t="s">
        <v>60</v>
      </c>
      <c r="W39" s="1" t="s">
        <v>52</v>
      </c>
      <c r="X39" s="3">
        <v>183.932968043594</v>
      </c>
      <c r="Y39" s="4">
        <f t="shared" si="1"/>
        <v>584.9961188</v>
      </c>
      <c r="Z39" s="5" t="str">
        <f t="shared" si="2"/>
        <v>Medium</v>
      </c>
      <c r="AA39" s="5" t="str">
        <f t="shared" si="3"/>
        <v>Delayed</v>
      </c>
      <c r="AB39" s="5" t="str">
        <f t="shared" si="4"/>
        <v>Low</v>
      </c>
    </row>
    <row r="40">
      <c r="A40" s="1" t="s">
        <v>61</v>
      </c>
      <c r="B40" s="1" t="s">
        <v>96</v>
      </c>
      <c r="C40" s="2">
        <v>52.0759306827078</v>
      </c>
      <c r="D40" s="1">
        <v>75.0</v>
      </c>
      <c r="E40" s="1">
        <v>705.0</v>
      </c>
      <c r="F40" s="2">
        <v>9692.31804021843</v>
      </c>
      <c r="G40" s="1" t="s">
        <v>30</v>
      </c>
      <c r="H40" s="1">
        <v>69.0</v>
      </c>
      <c r="I40" s="1">
        <v>1.0</v>
      </c>
      <c r="J40" s="1">
        <v>88.0</v>
      </c>
      <c r="K40" s="1">
        <v>5.0</v>
      </c>
      <c r="L40" s="1" t="s">
        <v>31</v>
      </c>
      <c r="M40" s="3">
        <v>9.23593143724922</v>
      </c>
      <c r="N40" s="1" t="s">
        <v>48</v>
      </c>
      <c r="O40" s="1" t="s">
        <v>33</v>
      </c>
      <c r="P40" s="1">
        <v>10.0</v>
      </c>
      <c r="Q40" s="1">
        <v>841.0</v>
      </c>
      <c r="R40" s="1">
        <v>12.0</v>
      </c>
      <c r="S40" s="3">
        <v>5.93069364552831</v>
      </c>
      <c r="T40" s="1" t="s">
        <v>34</v>
      </c>
      <c r="U40" s="2">
        <v>0.613326899164507</v>
      </c>
      <c r="V40" s="1" t="s">
        <v>44</v>
      </c>
      <c r="W40" s="1" t="s">
        <v>36</v>
      </c>
      <c r="X40" s="3">
        <v>339.672869948606</v>
      </c>
      <c r="Y40" s="4">
        <f t="shared" si="1"/>
        <v>3593.239217</v>
      </c>
      <c r="Z40" s="5" t="str">
        <f t="shared" si="2"/>
        <v>Fast</v>
      </c>
      <c r="AA40" s="5" t="str">
        <f t="shared" si="3"/>
        <v>On Time</v>
      </c>
      <c r="AB40" s="5" t="str">
        <f t="shared" si="4"/>
        <v>Low</v>
      </c>
    </row>
    <row r="41">
      <c r="A41" s="1" t="s">
        <v>37</v>
      </c>
      <c r="B41" s="1" t="s">
        <v>97</v>
      </c>
      <c r="C41" s="2">
        <v>19.1274772658232</v>
      </c>
      <c r="D41" s="1">
        <v>26.0</v>
      </c>
      <c r="E41" s="1">
        <v>176.0</v>
      </c>
      <c r="F41" s="2">
        <v>1912.46566310076</v>
      </c>
      <c r="G41" s="1" t="s">
        <v>39</v>
      </c>
      <c r="H41" s="1">
        <v>78.0</v>
      </c>
      <c r="I41" s="1">
        <v>29.0</v>
      </c>
      <c r="J41" s="1">
        <v>34.0</v>
      </c>
      <c r="K41" s="1">
        <v>3.0</v>
      </c>
      <c r="L41" s="1" t="s">
        <v>40</v>
      </c>
      <c r="M41" s="3">
        <v>5.56250377883038</v>
      </c>
      <c r="N41" s="1" t="s">
        <v>65</v>
      </c>
      <c r="O41" s="1" t="s">
        <v>49</v>
      </c>
      <c r="P41" s="1">
        <v>30.0</v>
      </c>
      <c r="Q41" s="1">
        <v>791.0</v>
      </c>
      <c r="R41" s="1">
        <v>6.0</v>
      </c>
      <c r="S41" s="3">
        <v>9.00580742878164</v>
      </c>
      <c r="T41" s="1" t="s">
        <v>50</v>
      </c>
      <c r="U41" s="2">
        <v>1.45197220399681</v>
      </c>
      <c r="V41" s="1" t="s">
        <v>44</v>
      </c>
      <c r="W41" s="1" t="s">
        <v>36</v>
      </c>
      <c r="X41" s="3">
        <v>653.672994552033</v>
      </c>
      <c r="Y41" s="4">
        <f t="shared" si="1"/>
        <v>1491.943227</v>
      </c>
      <c r="Z41" s="5" t="str">
        <f t="shared" si="2"/>
        <v>Slow</v>
      </c>
      <c r="AA41" s="5" t="str">
        <f t="shared" si="3"/>
        <v>On Time</v>
      </c>
      <c r="AB41" s="5" t="str">
        <f t="shared" si="4"/>
        <v>Low</v>
      </c>
    </row>
    <row r="42">
      <c r="A42" s="1" t="s">
        <v>37</v>
      </c>
      <c r="B42" s="1" t="s">
        <v>98</v>
      </c>
      <c r="C42" s="2">
        <v>80.5414241709403</v>
      </c>
      <c r="D42" s="1">
        <v>97.0</v>
      </c>
      <c r="E42" s="1">
        <v>933.0</v>
      </c>
      <c r="F42" s="2">
        <v>5724.95935045626</v>
      </c>
      <c r="G42" s="1" t="s">
        <v>39</v>
      </c>
      <c r="H42" s="1">
        <v>90.0</v>
      </c>
      <c r="I42" s="1">
        <v>20.0</v>
      </c>
      <c r="J42" s="1">
        <v>39.0</v>
      </c>
      <c r="K42" s="1">
        <v>8.0</v>
      </c>
      <c r="L42" s="1" t="s">
        <v>47</v>
      </c>
      <c r="M42" s="3">
        <v>7.22959513973647</v>
      </c>
      <c r="N42" s="1" t="s">
        <v>43</v>
      </c>
      <c r="O42" s="1" t="s">
        <v>49</v>
      </c>
      <c r="P42" s="1">
        <v>18.0</v>
      </c>
      <c r="Q42" s="1">
        <v>793.0</v>
      </c>
      <c r="R42" s="1">
        <v>1.0</v>
      </c>
      <c r="S42" s="3">
        <v>88.1794071042174</v>
      </c>
      <c r="T42" s="1" t="s">
        <v>34</v>
      </c>
      <c r="U42" s="2">
        <v>4.21326943058656</v>
      </c>
      <c r="V42" s="1" t="s">
        <v>35</v>
      </c>
      <c r="W42" s="1" t="s">
        <v>52</v>
      </c>
      <c r="X42" s="3">
        <v>529.808723980691</v>
      </c>
      <c r="Y42" s="4">
        <f t="shared" si="1"/>
        <v>7248.728175</v>
      </c>
      <c r="Z42" s="5" t="str">
        <f t="shared" si="2"/>
        <v>Slow</v>
      </c>
      <c r="AA42" s="5" t="str">
        <f t="shared" si="3"/>
        <v>Delayed</v>
      </c>
      <c r="AB42" s="5" t="str">
        <f t="shared" si="4"/>
        <v>Low</v>
      </c>
    </row>
    <row r="43">
      <c r="A43" s="1" t="s">
        <v>37</v>
      </c>
      <c r="B43" s="1" t="s">
        <v>99</v>
      </c>
      <c r="C43" s="2">
        <v>99.1132916153171</v>
      </c>
      <c r="D43" s="1">
        <v>35.0</v>
      </c>
      <c r="E43" s="1">
        <v>556.0</v>
      </c>
      <c r="F43" s="2">
        <v>5521.20525901097</v>
      </c>
      <c r="G43" s="1" t="s">
        <v>39</v>
      </c>
      <c r="H43" s="1">
        <v>64.0</v>
      </c>
      <c r="I43" s="1">
        <v>19.0</v>
      </c>
      <c r="J43" s="1">
        <v>38.0</v>
      </c>
      <c r="K43" s="1">
        <v>8.0</v>
      </c>
      <c r="L43" s="1" t="s">
        <v>31</v>
      </c>
      <c r="M43" s="3">
        <v>5.77326374376665</v>
      </c>
      <c r="N43" s="1" t="s">
        <v>56</v>
      </c>
      <c r="O43" s="1" t="s">
        <v>66</v>
      </c>
      <c r="P43" s="1">
        <v>18.0</v>
      </c>
      <c r="Q43" s="1">
        <v>892.0</v>
      </c>
      <c r="R43" s="1">
        <v>7.0</v>
      </c>
      <c r="S43" s="3">
        <v>95.3320645487725</v>
      </c>
      <c r="T43" s="1" t="s">
        <v>50</v>
      </c>
      <c r="U43" s="2">
        <v>0.0453022623982596</v>
      </c>
      <c r="V43" s="1" t="s">
        <v>60</v>
      </c>
      <c r="W43" s="1" t="s">
        <v>52</v>
      </c>
      <c r="X43" s="3">
        <v>275.524371131309</v>
      </c>
      <c r="Y43" s="4">
        <f t="shared" si="1"/>
        <v>6343.250663</v>
      </c>
      <c r="Z43" s="5" t="str">
        <f t="shared" si="2"/>
        <v>Slow</v>
      </c>
      <c r="AA43" s="5" t="str">
        <f t="shared" si="3"/>
        <v>Delayed</v>
      </c>
      <c r="AB43" s="5" t="str">
        <f t="shared" si="4"/>
        <v>Low</v>
      </c>
    </row>
    <row r="44">
      <c r="A44" s="1" t="s">
        <v>37</v>
      </c>
      <c r="B44" s="1" t="s">
        <v>100</v>
      </c>
      <c r="C44" s="2">
        <v>46.5291676145167</v>
      </c>
      <c r="D44" s="1">
        <v>98.0</v>
      </c>
      <c r="E44" s="1">
        <v>155.0</v>
      </c>
      <c r="F44" s="2">
        <v>1839.60942585676</v>
      </c>
      <c r="G44" s="1" t="s">
        <v>39</v>
      </c>
      <c r="H44" s="1">
        <v>22.0</v>
      </c>
      <c r="I44" s="1">
        <v>27.0</v>
      </c>
      <c r="J44" s="1">
        <v>57.0</v>
      </c>
      <c r="K44" s="1">
        <v>4.0</v>
      </c>
      <c r="L44" s="1" t="s">
        <v>47</v>
      </c>
      <c r="M44" s="3">
        <v>7.5262483268515</v>
      </c>
      <c r="N44" s="1" t="s">
        <v>48</v>
      </c>
      <c r="O44" s="1" t="s">
        <v>57</v>
      </c>
      <c r="P44" s="1">
        <v>26.0</v>
      </c>
      <c r="Q44" s="1">
        <v>179.0</v>
      </c>
      <c r="R44" s="1">
        <v>7.0</v>
      </c>
      <c r="S44" s="3">
        <v>96.4228206395718</v>
      </c>
      <c r="T44" s="1" t="s">
        <v>50</v>
      </c>
      <c r="U44" s="2">
        <v>4.93925528862094</v>
      </c>
      <c r="V44" s="1" t="s">
        <v>35</v>
      </c>
      <c r="W44" s="1" t="s">
        <v>52</v>
      </c>
      <c r="X44" s="3">
        <v>635.657120501991</v>
      </c>
      <c r="Y44" s="4">
        <f t="shared" si="1"/>
        <v>1023.641688</v>
      </c>
      <c r="Z44" s="5" t="str">
        <f t="shared" si="2"/>
        <v>Slow</v>
      </c>
      <c r="AA44" s="5" t="str">
        <f t="shared" si="3"/>
        <v>On Time</v>
      </c>
      <c r="AB44" s="5" t="str">
        <f t="shared" si="4"/>
        <v>Low</v>
      </c>
    </row>
    <row r="45">
      <c r="A45" s="1" t="s">
        <v>28</v>
      </c>
      <c r="B45" s="1" t="s">
        <v>101</v>
      </c>
      <c r="C45" s="2">
        <v>11.7432717763092</v>
      </c>
      <c r="D45" s="1">
        <v>6.0</v>
      </c>
      <c r="E45" s="1">
        <v>598.0</v>
      </c>
      <c r="F45" s="2">
        <v>5737.42559911902</v>
      </c>
      <c r="G45" s="1" t="s">
        <v>42</v>
      </c>
      <c r="H45" s="1">
        <v>36.0</v>
      </c>
      <c r="I45" s="1">
        <v>29.0</v>
      </c>
      <c r="J45" s="1">
        <v>85.0</v>
      </c>
      <c r="K45" s="1">
        <v>9.0</v>
      </c>
      <c r="L45" s="1" t="s">
        <v>31</v>
      </c>
      <c r="M45" s="3">
        <v>3.69402126838845</v>
      </c>
      <c r="N45" s="1" t="s">
        <v>48</v>
      </c>
      <c r="O45" s="1" t="s">
        <v>33</v>
      </c>
      <c r="P45" s="1">
        <v>1.0</v>
      </c>
      <c r="Q45" s="1">
        <v>206.0</v>
      </c>
      <c r="R45" s="1">
        <v>23.0</v>
      </c>
      <c r="S45" s="3">
        <v>26.2773659573324</v>
      </c>
      <c r="T45" s="1" t="s">
        <v>34</v>
      </c>
      <c r="U45" s="2">
        <v>0.372304767985097</v>
      </c>
      <c r="V45" s="1" t="s">
        <v>44</v>
      </c>
      <c r="W45" s="1" t="s">
        <v>52</v>
      </c>
      <c r="X45" s="3">
        <v>716.04411975934</v>
      </c>
      <c r="Y45" s="4">
        <f t="shared" si="1"/>
        <v>422.7577839</v>
      </c>
      <c r="Z45" s="5" t="str">
        <f t="shared" si="2"/>
        <v>Slow</v>
      </c>
      <c r="AA45" s="5" t="str">
        <f t="shared" si="3"/>
        <v>Delayed</v>
      </c>
      <c r="AB45" s="5" t="str">
        <f t="shared" si="4"/>
        <v>Low</v>
      </c>
    </row>
    <row r="46">
      <c r="A46" s="1" t="s">
        <v>61</v>
      </c>
      <c r="B46" s="1" t="s">
        <v>102</v>
      </c>
      <c r="C46" s="2">
        <v>51.3557909131103</v>
      </c>
      <c r="D46" s="1">
        <v>34.0</v>
      </c>
      <c r="E46" s="1">
        <v>919.0</v>
      </c>
      <c r="F46" s="2">
        <v>7152.28604943551</v>
      </c>
      <c r="G46" s="1" t="s">
        <v>39</v>
      </c>
      <c r="H46" s="1">
        <v>13.0</v>
      </c>
      <c r="I46" s="1">
        <v>19.0</v>
      </c>
      <c r="J46" s="1">
        <v>72.0</v>
      </c>
      <c r="K46" s="1">
        <v>6.0</v>
      </c>
      <c r="L46" s="1" t="s">
        <v>47</v>
      </c>
      <c r="M46" s="3">
        <v>7.57744965737669</v>
      </c>
      <c r="N46" s="1" t="s">
        <v>65</v>
      </c>
      <c r="O46" s="1" t="s">
        <v>54</v>
      </c>
      <c r="P46" s="1">
        <v>7.0</v>
      </c>
      <c r="Q46" s="1">
        <v>834.0</v>
      </c>
      <c r="R46" s="1">
        <v>18.0</v>
      </c>
      <c r="S46" s="3">
        <v>22.5541066208877</v>
      </c>
      <c r="T46" s="1" t="s">
        <v>50</v>
      </c>
      <c r="U46" s="2">
        <v>2.96262632045488</v>
      </c>
      <c r="V46" s="1" t="s">
        <v>51</v>
      </c>
      <c r="W46" s="1" t="s">
        <v>52</v>
      </c>
      <c r="X46" s="3">
        <v>610.453269619227</v>
      </c>
      <c r="Y46" s="4">
        <f t="shared" si="1"/>
        <v>667.6252819</v>
      </c>
      <c r="Z46" s="5" t="str">
        <f t="shared" si="2"/>
        <v>Slow</v>
      </c>
      <c r="AA46" s="5" t="str">
        <f t="shared" si="3"/>
        <v>On Time</v>
      </c>
      <c r="AB46" s="5" t="str">
        <f t="shared" si="4"/>
        <v>Low</v>
      </c>
    </row>
    <row r="47">
      <c r="A47" s="1" t="s">
        <v>28</v>
      </c>
      <c r="B47" s="1" t="s">
        <v>103</v>
      </c>
      <c r="C47" s="2">
        <v>33.7841380330655</v>
      </c>
      <c r="D47" s="1">
        <v>1.0</v>
      </c>
      <c r="E47" s="1">
        <v>24.0</v>
      </c>
      <c r="F47" s="2">
        <v>5267.95680751052</v>
      </c>
      <c r="G47" s="1" t="s">
        <v>59</v>
      </c>
      <c r="H47" s="1">
        <v>93.0</v>
      </c>
      <c r="I47" s="1">
        <v>7.0</v>
      </c>
      <c r="J47" s="1">
        <v>52.0</v>
      </c>
      <c r="K47" s="1">
        <v>6.0</v>
      </c>
      <c r="L47" s="1" t="s">
        <v>31</v>
      </c>
      <c r="M47" s="3">
        <v>5.21515500871191</v>
      </c>
      <c r="N47" s="1" t="s">
        <v>65</v>
      </c>
      <c r="O47" s="1" t="s">
        <v>66</v>
      </c>
      <c r="P47" s="1">
        <v>25.0</v>
      </c>
      <c r="Q47" s="1">
        <v>794.0</v>
      </c>
      <c r="R47" s="1">
        <v>25.0</v>
      </c>
      <c r="S47" s="3">
        <v>66.3125444399916</v>
      </c>
      <c r="T47" s="1" t="s">
        <v>68</v>
      </c>
      <c r="U47" s="2">
        <v>3.2196046120841</v>
      </c>
      <c r="V47" s="1" t="s">
        <v>51</v>
      </c>
      <c r="W47" s="1" t="s">
        <v>52</v>
      </c>
      <c r="X47" s="3">
        <v>495.305697028473</v>
      </c>
      <c r="Y47" s="4">
        <f t="shared" si="1"/>
        <v>3141.924837</v>
      </c>
      <c r="Z47" s="5" t="str">
        <f t="shared" si="2"/>
        <v>Medium</v>
      </c>
      <c r="AA47" s="5" t="str">
        <f t="shared" si="3"/>
        <v>On Time</v>
      </c>
      <c r="AB47" s="5" t="str">
        <f t="shared" si="4"/>
        <v>Low</v>
      </c>
    </row>
    <row r="48">
      <c r="A48" s="1" t="s">
        <v>28</v>
      </c>
      <c r="B48" s="1" t="s">
        <v>104</v>
      </c>
      <c r="C48" s="2">
        <v>27.0822071998889</v>
      </c>
      <c r="D48" s="1">
        <v>75.0</v>
      </c>
      <c r="E48" s="1">
        <v>859.0</v>
      </c>
      <c r="F48" s="2">
        <v>2556.76736063359</v>
      </c>
      <c r="G48" s="1" t="s">
        <v>30</v>
      </c>
      <c r="H48" s="1">
        <v>92.0</v>
      </c>
      <c r="I48" s="1">
        <v>29.0</v>
      </c>
      <c r="J48" s="1">
        <v>6.0</v>
      </c>
      <c r="K48" s="1">
        <v>8.0</v>
      </c>
      <c r="L48" s="1" t="s">
        <v>31</v>
      </c>
      <c r="M48" s="3">
        <v>4.07095583708408</v>
      </c>
      <c r="N48" s="1" t="s">
        <v>32</v>
      </c>
      <c r="O48" s="1" t="s">
        <v>66</v>
      </c>
      <c r="P48" s="1">
        <v>18.0</v>
      </c>
      <c r="Q48" s="1">
        <v>870.0</v>
      </c>
      <c r="R48" s="1">
        <v>23.0</v>
      </c>
      <c r="S48" s="3">
        <v>77.3223532110516</v>
      </c>
      <c r="T48" s="1" t="s">
        <v>34</v>
      </c>
      <c r="U48" s="2">
        <v>3.6486105925362</v>
      </c>
      <c r="V48" s="1" t="s">
        <v>35</v>
      </c>
      <c r="W48" s="1" t="s">
        <v>36</v>
      </c>
      <c r="X48" s="3">
        <v>380.435937111964</v>
      </c>
      <c r="Y48" s="4">
        <f t="shared" si="1"/>
        <v>2491.563062</v>
      </c>
      <c r="Z48" s="5" t="str">
        <f t="shared" si="2"/>
        <v>Slow</v>
      </c>
      <c r="AA48" s="5" t="str">
        <f t="shared" si="3"/>
        <v>Delayed</v>
      </c>
      <c r="AB48" s="5" t="str">
        <f t="shared" si="4"/>
        <v>Low</v>
      </c>
    </row>
    <row r="49">
      <c r="A49" s="1" t="s">
        <v>37</v>
      </c>
      <c r="B49" s="1" t="s">
        <v>105</v>
      </c>
      <c r="C49" s="2">
        <v>95.712135880936</v>
      </c>
      <c r="D49" s="1">
        <v>93.0</v>
      </c>
      <c r="E49" s="1">
        <v>910.0</v>
      </c>
      <c r="F49" s="2">
        <v>7089.47424993418</v>
      </c>
      <c r="G49" s="1" t="s">
        <v>59</v>
      </c>
      <c r="H49" s="1">
        <v>4.0</v>
      </c>
      <c r="I49" s="1">
        <v>15.0</v>
      </c>
      <c r="J49" s="1">
        <v>51.0</v>
      </c>
      <c r="K49" s="1">
        <v>9.0</v>
      </c>
      <c r="L49" s="1" t="s">
        <v>31</v>
      </c>
      <c r="M49" s="3">
        <v>8.97875075594997</v>
      </c>
      <c r="N49" s="1" t="s">
        <v>43</v>
      </c>
      <c r="O49" s="1" t="s">
        <v>49</v>
      </c>
      <c r="P49" s="1">
        <v>10.0</v>
      </c>
      <c r="Q49" s="1">
        <v>964.0</v>
      </c>
      <c r="R49" s="1">
        <v>20.0</v>
      </c>
      <c r="S49" s="3">
        <v>19.7129929112936</v>
      </c>
      <c r="T49" s="1" t="s">
        <v>34</v>
      </c>
      <c r="U49" s="2">
        <v>0.380573586713213</v>
      </c>
      <c r="V49" s="1" t="s">
        <v>51</v>
      </c>
      <c r="W49" s="1" t="s">
        <v>52</v>
      </c>
      <c r="X49" s="3">
        <v>581.602355050586</v>
      </c>
      <c r="Y49" s="4">
        <f t="shared" si="1"/>
        <v>382.8485435</v>
      </c>
      <c r="Z49" s="5" t="str">
        <f t="shared" si="2"/>
        <v>Slow</v>
      </c>
      <c r="AA49" s="5" t="str">
        <f t="shared" si="3"/>
        <v>Delayed</v>
      </c>
      <c r="AB49" s="5" t="str">
        <f t="shared" si="4"/>
        <v>Low</v>
      </c>
    </row>
    <row r="50">
      <c r="A50" s="1" t="s">
        <v>28</v>
      </c>
      <c r="B50" s="1" t="s">
        <v>106</v>
      </c>
      <c r="C50" s="2">
        <v>76.0355444268917</v>
      </c>
      <c r="D50" s="1">
        <v>28.0</v>
      </c>
      <c r="E50" s="1">
        <v>29.0</v>
      </c>
      <c r="F50" s="2">
        <v>7397.07100458718</v>
      </c>
      <c r="G50" s="1" t="s">
        <v>30</v>
      </c>
      <c r="H50" s="1">
        <v>30.0</v>
      </c>
      <c r="I50" s="1">
        <v>16.0</v>
      </c>
      <c r="J50" s="1">
        <v>9.0</v>
      </c>
      <c r="K50" s="1">
        <v>3.0</v>
      </c>
      <c r="L50" s="1" t="s">
        <v>47</v>
      </c>
      <c r="M50" s="3">
        <v>7.09583315655513</v>
      </c>
      <c r="N50" s="1" t="s">
        <v>65</v>
      </c>
      <c r="O50" s="1" t="s">
        <v>33</v>
      </c>
      <c r="P50" s="1">
        <v>9.0</v>
      </c>
      <c r="Q50" s="1">
        <v>109.0</v>
      </c>
      <c r="R50" s="1">
        <v>18.0</v>
      </c>
      <c r="S50" s="3">
        <v>23.1263635824647</v>
      </c>
      <c r="T50" s="1" t="s">
        <v>50</v>
      </c>
      <c r="U50" s="2">
        <v>1.6981125407144</v>
      </c>
      <c r="V50" s="1" t="s">
        <v>51</v>
      </c>
      <c r="W50" s="1" t="s">
        <v>36</v>
      </c>
      <c r="X50" s="3">
        <v>768.65191395437</v>
      </c>
      <c r="Y50" s="4">
        <f t="shared" si="1"/>
        <v>2281.066333</v>
      </c>
      <c r="Z50" s="5" t="str">
        <f t="shared" si="2"/>
        <v>Slow</v>
      </c>
      <c r="AA50" s="5" t="str">
        <f t="shared" si="3"/>
        <v>On Time</v>
      </c>
      <c r="AB50" s="5" t="str">
        <f t="shared" si="4"/>
        <v>Low</v>
      </c>
    </row>
    <row r="51">
      <c r="A51" s="1" t="s">
        <v>61</v>
      </c>
      <c r="B51" s="1" t="s">
        <v>107</v>
      </c>
      <c r="C51" s="2">
        <v>78.89791320564</v>
      </c>
      <c r="D51" s="1">
        <v>19.0</v>
      </c>
      <c r="E51" s="1">
        <v>99.0</v>
      </c>
      <c r="F51" s="2">
        <v>8001.613206519</v>
      </c>
      <c r="G51" s="1" t="s">
        <v>42</v>
      </c>
      <c r="H51" s="1">
        <v>97.0</v>
      </c>
      <c r="I51" s="1">
        <v>24.0</v>
      </c>
      <c r="J51" s="1">
        <v>9.0</v>
      </c>
      <c r="K51" s="1">
        <v>6.0</v>
      </c>
      <c r="L51" s="1" t="s">
        <v>47</v>
      </c>
      <c r="M51" s="3">
        <v>2.50562103290091</v>
      </c>
      <c r="N51" s="1" t="s">
        <v>48</v>
      </c>
      <c r="O51" s="1" t="s">
        <v>54</v>
      </c>
      <c r="P51" s="1">
        <v>28.0</v>
      </c>
      <c r="Q51" s="1">
        <v>177.0</v>
      </c>
      <c r="R51" s="1">
        <v>28.0</v>
      </c>
      <c r="S51" s="3">
        <v>14.1478154439792</v>
      </c>
      <c r="T51" s="1" t="s">
        <v>68</v>
      </c>
      <c r="U51" s="2">
        <v>2.82581398540013</v>
      </c>
      <c r="V51" s="1" t="s">
        <v>51</v>
      </c>
      <c r="W51" s="1" t="s">
        <v>52</v>
      </c>
      <c r="X51" s="3">
        <v>336.890168519977</v>
      </c>
      <c r="Y51" s="4">
        <f t="shared" si="1"/>
        <v>7653.097581</v>
      </c>
      <c r="Z51" s="5" t="str">
        <f t="shared" si="2"/>
        <v>Slow</v>
      </c>
      <c r="AA51" s="5" t="str">
        <f t="shared" si="3"/>
        <v>On Time</v>
      </c>
      <c r="AB51" s="5" t="str">
        <f t="shared" si="4"/>
        <v>Low</v>
      </c>
    </row>
    <row r="52">
      <c r="A52" s="1" t="s">
        <v>61</v>
      </c>
      <c r="B52" s="1" t="s">
        <v>108</v>
      </c>
      <c r="C52" s="2">
        <v>14.203484264803</v>
      </c>
      <c r="D52" s="1">
        <v>91.0</v>
      </c>
      <c r="E52" s="1">
        <v>633.0</v>
      </c>
      <c r="F52" s="2">
        <v>5910.88538966889</v>
      </c>
      <c r="G52" s="1" t="s">
        <v>39</v>
      </c>
      <c r="H52" s="1">
        <v>31.0</v>
      </c>
      <c r="I52" s="1">
        <v>23.0</v>
      </c>
      <c r="J52" s="1">
        <v>82.0</v>
      </c>
      <c r="K52" s="1">
        <v>10.0</v>
      </c>
      <c r="L52" s="1" t="s">
        <v>40</v>
      </c>
      <c r="M52" s="3">
        <v>6.24786091497599</v>
      </c>
      <c r="N52" s="1" t="s">
        <v>65</v>
      </c>
      <c r="O52" s="1" t="s">
        <v>54</v>
      </c>
      <c r="P52" s="1">
        <v>20.0</v>
      </c>
      <c r="Q52" s="1">
        <v>306.0</v>
      </c>
      <c r="R52" s="1">
        <v>21.0</v>
      </c>
      <c r="S52" s="3">
        <v>45.1787579246345</v>
      </c>
      <c r="T52" s="1" t="s">
        <v>50</v>
      </c>
      <c r="U52" s="2">
        <v>4.75480080467118</v>
      </c>
      <c r="V52" s="1" t="s">
        <v>51</v>
      </c>
      <c r="W52" s="1" t="s">
        <v>36</v>
      </c>
      <c r="X52" s="3">
        <v>496.24865029194</v>
      </c>
      <c r="Y52" s="4">
        <f t="shared" si="1"/>
        <v>440.3080122</v>
      </c>
      <c r="Z52" s="5" t="str">
        <f t="shared" si="2"/>
        <v>Slow</v>
      </c>
      <c r="AA52" s="5" t="str">
        <f t="shared" si="3"/>
        <v>Delayed</v>
      </c>
      <c r="AB52" s="5" t="str">
        <f t="shared" si="4"/>
        <v>Low</v>
      </c>
    </row>
    <row r="53">
      <c r="A53" s="1" t="s">
        <v>28</v>
      </c>
      <c r="B53" s="1" t="s">
        <v>109</v>
      </c>
      <c r="C53" s="2">
        <v>26.7007609724617</v>
      </c>
      <c r="D53" s="1">
        <v>61.0</v>
      </c>
      <c r="E53" s="1">
        <v>154.0</v>
      </c>
      <c r="F53" s="2">
        <v>9866.46545797969</v>
      </c>
      <c r="G53" s="1" t="s">
        <v>59</v>
      </c>
      <c r="H53" s="1">
        <v>100.0</v>
      </c>
      <c r="I53" s="1">
        <v>4.0</v>
      </c>
      <c r="J53" s="1">
        <v>52.0</v>
      </c>
      <c r="K53" s="1">
        <v>1.0</v>
      </c>
      <c r="L53" s="1" t="s">
        <v>40</v>
      </c>
      <c r="M53" s="3">
        <v>4.78300055794766</v>
      </c>
      <c r="N53" s="1" t="s">
        <v>48</v>
      </c>
      <c r="O53" s="1" t="s">
        <v>57</v>
      </c>
      <c r="P53" s="1">
        <v>18.0</v>
      </c>
      <c r="Q53" s="1">
        <v>673.0</v>
      </c>
      <c r="R53" s="1">
        <v>28.0</v>
      </c>
      <c r="S53" s="3">
        <v>14.1903283445699</v>
      </c>
      <c r="T53" s="1" t="s">
        <v>34</v>
      </c>
      <c r="U53" s="2">
        <v>1.77295117208355</v>
      </c>
      <c r="V53" s="1" t="s">
        <v>35</v>
      </c>
      <c r="W53" s="1" t="s">
        <v>52</v>
      </c>
      <c r="X53" s="3">
        <v>694.982317579445</v>
      </c>
      <c r="Y53" s="4">
        <f t="shared" si="1"/>
        <v>2670.076097</v>
      </c>
      <c r="Z53" s="5" t="str">
        <f t="shared" si="2"/>
        <v>Fast</v>
      </c>
      <c r="AA53" s="5" t="str">
        <f t="shared" si="3"/>
        <v>On Time</v>
      </c>
      <c r="AB53" s="5" t="str">
        <f t="shared" si="4"/>
        <v>Low</v>
      </c>
    </row>
    <row r="54">
      <c r="A54" s="1" t="s">
        <v>37</v>
      </c>
      <c r="B54" s="1" t="s">
        <v>110</v>
      </c>
      <c r="C54" s="2">
        <v>98.031829656465</v>
      </c>
      <c r="D54" s="1">
        <v>1.0</v>
      </c>
      <c r="E54" s="1">
        <v>820.0</v>
      </c>
      <c r="F54" s="2">
        <v>9435.76260891213</v>
      </c>
      <c r="G54" s="1" t="s">
        <v>59</v>
      </c>
      <c r="H54" s="1">
        <v>64.0</v>
      </c>
      <c r="I54" s="1">
        <v>11.0</v>
      </c>
      <c r="J54" s="1">
        <v>11.0</v>
      </c>
      <c r="K54" s="1">
        <v>1.0</v>
      </c>
      <c r="L54" s="1" t="s">
        <v>31</v>
      </c>
      <c r="M54" s="3">
        <v>8.63105217976894</v>
      </c>
      <c r="N54" s="1" t="s">
        <v>43</v>
      </c>
      <c r="O54" s="1" t="s">
        <v>33</v>
      </c>
      <c r="P54" s="1">
        <v>10.0</v>
      </c>
      <c r="Q54" s="1">
        <v>727.0</v>
      </c>
      <c r="R54" s="1">
        <v>27.0</v>
      </c>
      <c r="S54" s="3">
        <v>9.16684914859715</v>
      </c>
      <c r="T54" s="1" t="s">
        <v>34</v>
      </c>
      <c r="U54" s="2">
        <v>2.12247161914382</v>
      </c>
      <c r="V54" s="1" t="s">
        <v>44</v>
      </c>
      <c r="W54" s="1" t="s">
        <v>45</v>
      </c>
      <c r="X54" s="3">
        <v>602.898498838383</v>
      </c>
      <c r="Y54" s="4">
        <f t="shared" si="1"/>
        <v>6274.037098</v>
      </c>
      <c r="Z54" s="5" t="str">
        <f t="shared" si="2"/>
        <v>Slow</v>
      </c>
      <c r="AA54" s="5" t="str">
        <f t="shared" si="3"/>
        <v>On Time</v>
      </c>
      <c r="AB54" s="5" t="str">
        <f t="shared" si="4"/>
        <v>Low</v>
      </c>
    </row>
    <row r="55">
      <c r="A55" s="1" t="s">
        <v>37</v>
      </c>
      <c r="B55" s="1" t="s">
        <v>111</v>
      </c>
      <c r="C55" s="2">
        <v>30.3414707112142</v>
      </c>
      <c r="D55" s="1">
        <v>93.0</v>
      </c>
      <c r="E55" s="1">
        <v>242.0</v>
      </c>
      <c r="F55" s="2">
        <v>8232.33482942582</v>
      </c>
      <c r="G55" s="1" t="s">
        <v>59</v>
      </c>
      <c r="H55" s="1">
        <v>96.0</v>
      </c>
      <c r="I55" s="1">
        <v>25.0</v>
      </c>
      <c r="J55" s="1">
        <v>54.0</v>
      </c>
      <c r="K55" s="1">
        <v>3.0</v>
      </c>
      <c r="L55" s="1" t="s">
        <v>31</v>
      </c>
      <c r="M55" s="3">
        <v>1.01348656609589</v>
      </c>
      <c r="N55" s="1" t="s">
        <v>43</v>
      </c>
      <c r="O55" s="1" t="s">
        <v>54</v>
      </c>
      <c r="P55" s="1">
        <v>1.0</v>
      </c>
      <c r="Q55" s="1">
        <v>631.0</v>
      </c>
      <c r="R55" s="1">
        <v>17.0</v>
      </c>
      <c r="S55" s="3">
        <v>83.3440589916779</v>
      </c>
      <c r="T55" s="1" t="s">
        <v>34</v>
      </c>
      <c r="U55" s="2">
        <v>1.41034757607602</v>
      </c>
      <c r="V55" s="1" t="s">
        <v>44</v>
      </c>
      <c r="W55" s="1" t="s">
        <v>36</v>
      </c>
      <c r="X55" s="3">
        <v>750.73784066827</v>
      </c>
      <c r="Y55" s="4">
        <f t="shared" si="1"/>
        <v>2912.781188</v>
      </c>
      <c r="Z55" s="5" t="str">
        <f t="shared" si="2"/>
        <v>Slow</v>
      </c>
      <c r="AA55" s="5" t="str">
        <f t="shared" si="3"/>
        <v>On Time</v>
      </c>
      <c r="AB55" s="5" t="str">
        <f t="shared" si="4"/>
        <v>Low</v>
      </c>
    </row>
    <row r="56">
      <c r="A56" s="1" t="s">
        <v>28</v>
      </c>
      <c r="B56" s="1" t="s">
        <v>112</v>
      </c>
      <c r="C56" s="2">
        <v>31.1462431602408</v>
      </c>
      <c r="D56" s="1">
        <v>11.0</v>
      </c>
      <c r="E56" s="1">
        <v>622.0</v>
      </c>
      <c r="F56" s="2">
        <v>6088.02147994085</v>
      </c>
      <c r="G56" s="1" t="s">
        <v>30</v>
      </c>
      <c r="H56" s="1">
        <v>33.0</v>
      </c>
      <c r="I56" s="1">
        <v>22.0</v>
      </c>
      <c r="J56" s="1">
        <v>61.0</v>
      </c>
      <c r="K56" s="1">
        <v>3.0</v>
      </c>
      <c r="L56" s="1" t="s">
        <v>31</v>
      </c>
      <c r="M56" s="3">
        <v>4.30510347128763</v>
      </c>
      <c r="N56" s="1" t="s">
        <v>43</v>
      </c>
      <c r="O56" s="1" t="s">
        <v>49</v>
      </c>
      <c r="P56" s="1">
        <v>26.0</v>
      </c>
      <c r="Q56" s="1">
        <v>497.0</v>
      </c>
      <c r="R56" s="1">
        <v>29.0</v>
      </c>
      <c r="S56" s="3">
        <v>30.1860233758225</v>
      </c>
      <c r="T56" s="1" t="s">
        <v>68</v>
      </c>
      <c r="U56" s="2">
        <v>2.47877197553974</v>
      </c>
      <c r="V56" s="1" t="s">
        <v>35</v>
      </c>
      <c r="W56" s="1" t="s">
        <v>36</v>
      </c>
      <c r="X56" s="3">
        <v>814.069996582187</v>
      </c>
      <c r="Y56" s="4">
        <f t="shared" si="1"/>
        <v>1027.826024</v>
      </c>
      <c r="Z56" s="5" t="str">
        <f t="shared" si="2"/>
        <v>Slow</v>
      </c>
      <c r="AA56" s="5" t="str">
        <f t="shared" si="3"/>
        <v>On Time</v>
      </c>
      <c r="AB56" s="5" t="str">
        <f t="shared" si="4"/>
        <v>Low</v>
      </c>
    </row>
    <row r="57">
      <c r="A57" s="1" t="s">
        <v>28</v>
      </c>
      <c r="B57" s="1" t="s">
        <v>113</v>
      </c>
      <c r="C57" s="2">
        <v>79.8550583407894</v>
      </c>
      <c r="D57" s="1">
        <v>16.0</v>
      </c>
      <c r="E57" s="1">
        <v>701.0</v>
      </c>
      <c r="F57" s="2">
        <v>2925.67517030381</v>
      </c>
      <c r="G57" s="1" t="s">
        <v>59</v>
      </c>
      <c r="H57" s="1">
        <v>97.0</v>
      </c>
      <c r="I57" s="1">
        <v>11.0</v>
      </c>
      <c r="J57" s="1">
        <v>11.0</v>
      </c>
      <c r="K57" s="1">
        <v>5.0</v>
      </c>
      <c r="L57" s="1" t="s">
        <v>40</v>
      </c>
      <c r="M57" s="3">
        <v>5.0143649550309</v>
      </c>
      <c r="N57" s="1" t="s">
        <v>65</v>
      </c>
      <c r="O57" s="1" t="s">
        <v>54</v>
      </c>
      <c r="P57" s="1">
        <v>27.0</v>
      </c>
      <c r="Q57" s="1">
        <v>918.0</v>
      </c>
      <c r="R57" s="1">
        <v>5.0</v>
      </c>
      <c r="S57" s="3">
        <v>30.3235452566165</v>
      </c>
      <c r="T57" s="1" t="s">
        <v>50</v>
      </c>
      <c r="U57" s="2">
        <v>4.54891965939638</v>
      </c>
      <c r="V57" s="1" t="s">
        <v>60</v>
      </c>
      <c r="W57" s="1" t="s">
        <v>36</v>
      </c>
      <c r="X57" s="3">
        <v>323.012927952478</v>
      </c>
      <c r="Y57" s="4">
        <f t="shared" si="1"/>
        <v>7745.940659</v>
      </c>
      <c r="Z57" s="5" t="str">
        <f t="shared" si="2"/>
        <v>Slow</v>
      </c>
      <c r="AA57" s="5" t="str">
        <f t="shared" si="3"/>
        <v>On Time</v>
      </c>
      <c r="AB57" s="5" t="str">
        <f t="shared" si="4"/>
        <v>Low</v>
      </c>
    </row>
    <row r="58">
      <c r="A58" s="1" t="s">
        <v>37</v>
      </c>
      <c r="B58" s="1" t="s">
        <v>114</v>
      </c>
      <c r="C58" s="2">
        <v>20.9863860370433</v>
      </c>
      <c r="D58" s="1">
        <v>90.0</v>
      </c>
      <c r="E58" s="1">
        <v>93.0</v>
      </c>
      <c r="F58" s="2">
        <v>4767.02048434413</v>
      </c>
      <c r="G58" s="1" t="s">
        <v>30</v>
      </c>
      <c r="H58" s="1">
        <v>25.0</v>
      </c>
      <c r="I58" s="1">
        <v>23.0</v>
      </c>
      <c r="J58" s="1">
        <v>83.0</v>
      </c>
      <c r="K58" s="1">
        <v>5.0</v>
      </c>
      <c r="L58" s="1" t="s">
        <v>47</v>
      </c>
      <c r="M58" s="3">
        <v>1.77442971407173</v>
      </c>
      <c r="N58" s="1" t="s">
        <v>43</v>
      </c>
      <c r="O58" s="1" t="s">
        <v>33</v>
      </c>
      <c r="P58" s="1">
        <v>24.0</v>
      </c>
      <c r="Q58" s="1">
        <v>826.0</v>
      </c>
      <c r="R58" s="1">
        <v>28.0</v>
      </c>
      <c r="S58" s="3">
        <v>12.8362845728327</v>
      </c>
      <c r="T58" s="1" t="s">
        <v>68</v>
      </c>
      <c r="U58" s="2">
        <v>1.17375549538745</v>
      </c>
      <c r="V58" s="1" t="s">
        <v>44</v>
      </c>
      <c r="W58" s="1" t="s">
        <v>36</v>
      </c>
      <c r="X58" s="3">
        <v>832.210808706021</v>
      </c>
      <c r="Y58" s="4">
        <f t="shared" si="1"/>
        <v>524.6596509</v>
      </c>
      <c r="Z58" s="5" t="str">
        <f t="shared" si="2"/>
        <v>Slow</v>
      </c>
      <c r="AA58" s="5" t="str">
        <f t="shared" si="3"/>
        <v>On Time</v>
      </c>
      <c r="AB58" s="5" t="str">
        <f t="shared" si="4"/>
        <v>Low</v>
      </c>
    </row>
    <row r="59">
      <c r="A59" s="1" t="s">
        <v>28</v>
      </c>
      <c r="B59" s="1" t="s">
        <v>115</v>
      </c>
      <c r="C59" s="2">
        <v>49.2632053507341</v>
      </c>
      <c r="D59" s="1">
        <v>65.0</v>
      </c>
      <c r="E59" s="1">
        <v>227.0</v>
      </c>
      <c r="F59" s="2">
        <v>1605.8669003924</v>
      </c>
      <c r="G59" s="1" t="s">
        <v>42</v>
      </c>
      <c r="H59" s="1">
        <v>5.0</v>
      </c>
      <c r="I59" s="1">
        <v>18.0</v>
      </c>
      <c r="J59" s="1">
        <v>51.0</v>
      </c>
      <c r="K59" s="1">
        <v>1.0</v>
      </c>
      <c r="L59" s="1" t="s">
        <v>31</v>
      </c>
      <c r="M59" s="3">
        <v>9.16055853538187</v>
      </c>
      <c r="N59" s="1" t="s">
        <v>65</v>
      </c>
      <c r="O59" s="1" t="s">
        <v>54</v>
      </c>
      <c r="P59" s="1">
        <v>21.0</v>
      </c>
      <c r="Q59" s="1">
        <v>588.0</v>
      </c>
      <c r="R59" s="1">
        <v>25.0</v>
      </c>
      <c r="S59" s="3">
        <v>67.7796229870781</v>
      </c>
      <c r="T59" s="1" t="s">
        <v>34</v>
      </c>
      <c r="U59" s="2">
        <v>2.5111748302127</v>
      </c>
      <c r="V59" s="1" t="s">
        <v>51</v>
      </c>
      <c r="W59" s="1" t="s">
        <v>52</v>
      </c>
      <c r="X59" s="3">
        <v>482.191238602528</v>
      </c>
      <c r="Y59" s="4">
        <f t="shared" si="1"/>
        <v>246.3160268</v>
      </c>
      <c r="Z59" s="5" t="str">
        <f t="shared" si="2"/>
        <v>Slow</v>
      </c>
      <c r="AA59" s="5" t="str">
        <f t="shared" si="3"/>
        <v>On Time</v>
      </c>
      <c r="AB59" s="5" t="str">
        <f t="shared" si="4"/>
        <v>Low</v>
      </c>
    </row>
    <row r="60">
      <c r="A60" s="1" t="s">
        <v>37</v>
      </c>
      <c r="B60" s="1" t="s">
        <v>116</v>
      </c>
      <c r="C60" s="2">
        <v>59.8415613772893</v>
      </c>
      <c r="D60" s="1">
        <v>81.0</v>
      </c>
      <c r="E60" s="1">
        <v>896.0</v>
      </c>
      <c r="F60" s="2">
        <v>2021.1498103371</v>
      </c>
      <c r="G60" s="1" t="s">
        <v>30</v>
      </c>
      <c r="H60" s="1">
        <v>10.0</v>
      </c>
      <c r="I60" s="1">
        <v>5.0</v>
      </c>
      <c r="J60" s="1">
        <v>44.0</v>
      </c>
      <c r="K60" s="1">
        <v>7.0</v>
      </c>
      <c r="L60" s="1" t="s">
        <v>40</v>
      </c>
      <c r="M60" s="3">
        <v>4.93843856471209</v>
      </c>
      <c r="N60" s="1" t="s">
        <v>32</v>
      </c>
      <c r="O60" s="1" t="s">
        <v>54</v>
      </c>
      <c r="P60" s="1">
        <v>18.0</v>
      </c>
      <c r="Q60" s="1">
        <v>396.0</v>
      </c>
      <c r="R60" s="1">
        <v>7.0</v>
      </c>
      <c r="S60" s="3">
        <v>65.0474150946914</v>
      </c>
      <c r="T60" s="1" t="s">
        <v>50</v>
      </c>
      <c r="U60" s="2">
        <v>1.73037471985919</v>
      </c>
      <c r="V60" s="1" t="s">
        <v>35</v>
      </c>
      <c r="W60" s="1" t="s">
        <v>36</v>
      </c>
      <c r="X60" s="3">
        <v>110.364335231364</v>
      </c>
      <c r="Y60" s="4">
        <f t="shared" si="1"/>
        <v>598.4156138</v>
      </c>
      <c r="Z60" s="5" t="str">
        <f t="shared" si="2"/>
        <v>Fast</v>
      </c>
      <c r="AA60" s="5" t="str">
        <f t="shared" si="3"/>
        <v>On Time</v>
      </c>
      <c r="AB60" s="5" t="str">
        <f t="shared" si="4"/>
        <v>Low</v>
      </c>
    </row>
    <row r="61">
      <c r="A61" s="1" t="s">
        <v>61</v>
      </c>
      <c r="B61" s="1" t="s">
        <v>117</v>
      </c>
      <c r="C61" s="2">
        <v>63.8283983477109</v>
      </c>
      <c r="D61" s="1">
        <v>30.0</v>
      </c>
      <c r="E61" s="1">
        <v>484.0</v>
      </c>
      <c r="F61" s="2">
        <v>1061.61852301328</v>
      </c>
      <c r="G61" s="1" t="s">
        <v>30</v>
      </c>
      <c r="H61" s="1">
        <v>100.0</v>
      </c>
      <c r="I61" s="1">
        <v>16.0</v>
      </c>
      <c r="J61" s="1">
        <v>26.0</v>
      </c>
      <c r="K61" s="1">
        <v>7.0</v>
      </c>
      <c r="L61" s="1" t="s">
        <v>31</v>
      </c>
      <c r="M61" s="3">
        <v>7.29372259686772</v>
      </c>
      <c r="N61" s="1" t="s">
        <v>43</v>
      </c>
      <c r="O61" s="1" t="s">
        <v>49</v>
      </c>
      <c r="P61" s="1">
        <v>11.0</v>
      </c>
      <c r="Q61" s="1">
        <v>176.0</v>
      </c>
      <c r="R61" s="1">
        <v>4.0</v>
      </c>
      <c r="S61" s="3">
        <v>1.90076224351945</v>
      </c>
      <c r="T61" s="1" t="s">
        <v>50</v>
      </c>
      <c r="U61" s="2">
        <v>0.447194015463823</v>
      </c>
      <c r="V61" s="1" t="s">
        <v>44</v>
      </c>
      <c r="W61" s="1" t="s">
        <v>52</v>
      </c>
      <c r="X61" s="3">
        <v>312.574273610093</v>
      </c>
      <c r="Y61" s="4">
        <f t="shared" si="1"/>
        <v>6382.839835</v>
      </c>
      <c r="Z61" s="5" t="str">
        <f t="shared" si="2"/>
        <v>Slow</v>
      </c>
      <c r="AA61" s="5" t="str">
        <f t="shared" si="3"/>
        <v>On Time</v>
      </c>
      <c r="AB61" s="5" t="str">
        <f t="shared" si="4"/>
        <v>Low</v>
      </c>
    </row>
    <row r="62">
      <c r="A62" s="1" t="s">
        <v>37</v>
      </c>
      <c r="B62" s="1" t="s">
        <v>118</v>
      </c>
      <c r="C62" s="2">
        <v>17.0280279201887</v>
      </c>
      <c r="D62" s="1">
        <v>16.0</v>
      </c>
      <c r="E62" s="1">
        <v>380.0</v>
      </c>
      <c r="F62" s="2">
        <v>8864.08434958643</v>
      </c>
      <c r="G62" s="1" t="s">
        <v>39</v>
      </c>
      <c r="H62" s="1">
        <v>41.0</v>
      </c>
      <c r="I62" s="1">
        <v>27.0</v>
      </c>
      <c r="J62" s="1">
        <v>72.0</v>
      </c>
      <c r="K62" s="1">
        <v>8.0</v>
      </c>
      <c r="L62" s="1" t="s">
        <v>47</v>
      </c>
      <c r="M62" s="3">
        <v>4.38136815810231</v>
      </c>
      <c r="N62" s="1" t="s">
        <v>56</v>
      </c>
      <c r="O62" s="1" t="s">
        <v>33</v>
      </c>
      <c r="P62" s="1">
        <v>29.0</v>
      </c>
      <c r="Q62" s="1">
        <v>929.0</v>
      </c>
      <c r="R62" s="1">
        <v>24.0</v>
      </c>
      <c r="S62" s="3">
        <v>87.2130578151356</v>
      </c>
      <c r="T62" s="1" t="s">
        <v>50</v>
      </c>
      <c r="U62" s="2">
        <v>2.85309061664905</v>
      </c>
      <c r="V62" s="1" t="s">
        <v>51</v>
      </c>
      <c r="W62" s="1" t="s">
        <v>52</v>
      </c>
      <c r="X62" s="3">
        <v>430.169096975136</v>
      </c>
      <c r="Y62" s="4">
        <f t="shared" si="1"/>
        <v>698.1491447</v>
      </c>
      <c r="Z62" s="5" t="str">
        <f t="shared" si="2"/>
        <v>Slow</v>
      </c>
      <c r="AA62" s="5" t="str">
        <f t="shared" si="3"/>
        <v>Delayed</v>
      </c>
      <c r="AB62" s="5" t="str">
        <f t="shared" si="4"/>
        <v>Low</v>
      </c>
    </row>
    <row r="63">
      <c r="A63" s="1" t="s">
        <v>28</v>
      </c>
      <c r="B63" s="1" t="s">
        <v>119</v>
      </c>
      <c r="C63" s="2">
        <v>52.0287499032949</v>
      </c>
      <c r="D63" s="1">
        <v>23.0</v>
      </c>
      <c r="E63" s="1">
        <v>117.0</v>
      </c>
      <c r="F63" s="2">
        <v>6885.58935089625</v>
      </c>
      <c r="G63" s="1" t="s">
        <v>42</v>
      </c>
      <c r="H63" s="1">
        <v>32.0</v>
      </c>
      <c r="I63" s="1">
        <v>23.0</v>
      </c>
      <c r="J63" s="1">
        <v>36.0</v>
      </c>
      <c r="K63" s="1">
        <v>7.0</v>
      </c>
      <c r="L63" s="1" t="s">
        <v>47</v>
      </c>
      <c r="M63" s="3">
        <v>9.03034042252194</v>
      </c>
      <c r="N63" s="1" t="s">
        <v>56</v>
      </c>
      <c r="O63" s="1" t="s">
        <v>49</v>
      </c>
      <c r="P63" s="1">
        <v>14.0</v>
      </c>
      <c r="Q63" s="1">
        <v>480.0</v>
      </c>
      <c r="R63" s="1">
        <v>12.0</v>
      </c>
      <c r="S63" s="3">
        <v>78.7023939688789</v>
      </c>
      <c r="T63" s="1" t="s">
        <v>50</v>
      </c>
      <c r="U63" s="2">
        <v>4.36747053820505</v>
      </c>
      <c r="V63" s="1" t="s">
        <v>44</v>
      </c>
      <c r="W63" s="1" t="s">
        <v>52</v>
      </c>
      <c r="X63" s="3">
        <v>164.366528243419</v>
      </c>
      <c r="Y63" s="4">
        <f t="shared" si="1"/>
        <v>1664.919997</v>
      </c>
      <c r="Z63" s="5" t="str">
        <f t="shared" si="2"/>
        <v>Slow</v>
      </c>
      <c r="AA63" s="5" t="str">
        <f t="shared" si="3"/>
        <v>On Time</v>
      </c>
      <c r="AB63" s="5" t="str">
        <f t="shared" si="4"/>
        <v>Low</v>
      </c>
    </row>
    <row r="64">
      <c r="A64" s="1" t="s">
        <v>61</v>
      </c>
      <c r="B64" s="1" t="s">
        <v>120</v>
      </c>
      <c r="C64" s="2">
        <v>72.7963539555873</v>
      </c>
      <c r="D64" s="1">
        <v>89.0</v>
      </c>
      <c r="E64" s="1">
        <v>270.0</v>
      </c>
      <c r="F64" s="2">
        <v>3899.74683372922</v>
      </c>
      <c r="G64" s="1" t="s">
        <v>42</v>
      </c>
      <c r="H64" s="1">
        <v>86.0</v>
      </c>
      <c r="I64" s="1">
        <v>2.0</v>
      </c>
      <c r="J64" s="1">
        <v>40.0</v>
      </c>
      <c r="K64" s="1">
        <v>7.0</v>
      </c>
      <c r="L64" s="1" t="s">
        <v>47</v>
      </c>
      <c r="M64" s="3">
        <v>7.29170138877677</v>
      </c>
      <c r="N64" s="1" t="s">
        <v>65</v>
      </c>
      <c r="O64" s="1" t="s">
        <v>33</v>
      </c>
      <c r="P64" s="1">
        <v>13.0</v>
      </c>
      <c r="Q64" s="1">
        <v>751.0</v>
      </c>
      <c r="R64" s="1">
        <v>14.0</v>
      </c>
      <c r="S64" s="3">
        <v>21.0486427251686</v>
      </c>
      <c r="T64" s="1" t="s">
        <v>68</v>
      </c>
      <c r="U64" s="2">
        <v>1.87400140404437</v>
      </c>
      <c r="V64" s="1" t="s">
        <v>60</v>
      </c>
      <c r="W64" s="1" t="s">
        <v>45</v>
      </c>
      <c r="X64" s="3">
        <v>320.846515759111</v>
      </c>
      <c r="Y64" s="4">
        <f t="shared" si="1"/>
        <v>6260.48644</v>
      </c>
      <c r="Z64" s="5" t="str">
        <f t="shared" si="2"/>
        <v>Fast</v>
      </c>
      <c r="AA64" s="5" t="str">
        <f t="shared" si="3"/>
        <v>On Time</v>
      </c>
      <c r="AB64" s="5" t="str">
        <f t="shared" si="4"/>
        <v>Low</v>
      </c>
    </row>
    <row r="65">
      <c r="A65" s="1" t="s">
        <v>37</v>
      </c>
      <c r="B65" s="1" t="s">
        <v>121</v>
      </c>
      <c r="C65" s="2">
        <v>13.0173767852878</v>
      </c>
      <c r="D65" s="1">
        <v>55.0</v>
      </c>
      <c r="E65" s="1">
        <v>246.0</v>
      </c>
      <c r="F65" s="2">
        <v>4256.94914085022</v>
      </c>
      <c r="G65" s="1" t="s">
        <v>30</v>
      </c>
      <c r="H65" s="1">
        <v>54.0</v>
      </c>
      <c r="I65" s="1">
        <v>19.0</v>
      </c>
      <c r="J65" s="1">
        <v>10.0</v>
      </c>
      <c r="K65" s="1">
        <v>4.0</v>
      </c>
      <c r="L65" s="1" t="s">
        <v>40</v>
      </c>
      <c r="M65" s="3">
        <v>2.45793352798733</v>
      </c>
      <c r="N65" s="1" t="s">
        <v>32</v>
      </c>
      <c r="O65" s="1" t="s">
        <v>57</v>
      </c>
      <c r="P65" s="1">
        <v>18.0</v>
      </c>
      <c r="Q65" s="1">
        <v>736.0</v>
      </c>
      <c r="R65" s="1">
        <v>10.0</v>
      </c>
      <c r="S65" s="3">
        <v>20.0750039756304</v>
      </c>
      <c r="T65" s="1" t="s">
        <v>34</v>
      </c>
      <c r="U65" s="2">
        <v>3.63284329038213</v>
      </c>
      <c r="V65" s="1" t="s">
        <v>60</v>
      </c>
      <c r="W65" s="1" t="s">
        <v>52</v>
      </c>
      <c r="X65" s="3">
        <v>687.286177866417</v>
      </c>
      <c r="Y65" s="4">
        <f t="shared" si="1"/>
        <v>702.9383464</v>
      </c>
      <c r="Z65" s="5" t="str">
        <f t="shared" si="2"/>
        <v>Slow</v>
      </c>
      <c r="AA65" s="5" t="str">
        <f t="shared" si="3"/>
        <v>On Time</v>
      </c>
      <c r="AB65" s="5" t="str">
        <f t="shared" si="4"/>
        <v>Low</v>
      </c>
    </row>
    <row r="66">
      <c r="A66" s="1" t="s">
        <v>37</v>
      </c>
      <c r="B66" s="1" t="s">
        <v>122</v>
      </c>
      <c r="C66" s="2">
        <v>89.6340956081353</v>
      </c>
      <c r="D66" s="1">
        <v>11.0</v>
      </c>
      <c r="E66" s="1">
        <v>134.0</v>
      </c>
      <c r="F66" s="2">
        <v>8458.73087836717</v>
      </c>
      <c r="G66" s="1" t="s">
        <v>39</v>
      </c>
      <c r="H66" s="1">
        <v>73.0</v>
      </c>
      <c r="I66" s="1">
        <v>27.0</v>
      </c>
      <c r="J66" s="1">
        <v>75.0</v>
      </c>
      <c r="K66" s="1">
        <v>6.0</v>
      </c>
      <c r="L66" s="1" t="s">
        <v>47</v>
      </c>
      <c r="M66" s="3">
        <v>4.58535346819465</v>
      </c>
      <c r="N66" s="1" t="s">
        <v>43</v>
      </c>
      <c r="O66" s="1" t="s">
        <v>54</v>
      </c>
      <c r="P66" s="1">
        <v>17.0</v>
      </c>
      <c r="Q66" s="1">
        <v>328.0</v>
      </c>
      <c r="R66" s="1">
        <v>6.0</v>
      </c>
      <c r="S66" s="3">
        <v>8.69304242587728</v>
      </c>
      <c r="T66" s="1" t="s">
        <v>50</v>
      </c>
      <c r="U66" s="2">
        <v>0.159486314717514</v>
      </c>
      <c r="V66" s="1" t="s">
        <v>44</v>
      </c>
      <c r="W66" s="1" t="s">
        <v>45</v>
      </c>
      <c r="X66" s="3">
        <v>771.225084681157</v>
      </c>
      <c r="Y66" s="4">
        <f t="shared" si="1"/>
        <v>6543.288979</v>
      </c>
      <c r="Z66" s="5" t="str">
        <f t="shared" si="2"/>
        <v>Slow</v>
      </c>
      <c r="AA66" s="5" t="str">
        <f t="shared" si="3"/>
        <v>On Time</v>
      </c>
      <c r="AB66" s="5" t="str">
        <f t="shared" si="4"/>
        <v>Low</v>
      </c>
    </row>
    <row r="67">
      <c r="A67" s="1" t="s">
        <v>37</v>
      </c>
      <c r="B67" s="1" t="s">
        <v>123</v>
      </c>
      <c r="C67" s="2">
        <v>33.6977172066431</v>
      </c>
      <c r="D67" s="1">
        <v>72.0</v>
      </c>
      <c r="E67" s="1">
        <v>457.0</v>
      </c>
      <c r="F67" s="2">
        <v>8354.57968648199</v>
      </c>
      <c r="G67" s="1" t="s">
        <v>59</v>
      </c>
      <c r="H67" s="1">
        <v>57.0</v>
      </c>
      <c r="I67" s="1">
        <v>24.0</v>
      </c>
      <c r="J67" s="1">
        <v>54.0</v>
      </c>
      <c r="K67" s="1">
        <v>8.0</v>
      </c>
      <c r="L67" s="1" t="s">
        <v>47</v>
      </c>
      <c r="M67" s="3">
        <v>6.58054134788459</v>
      </c>
      <c r="N67" s="1" t="s">
        <v>48</v>
      </c>
      <c r="O67" s="1" t="s">
        <v>49</v>
      </c>
      <c r="P67" s="1">
        <v>16.0</v>
      </c>
      <c r="Q67" s="1">
        <v>358.0</v>
      </c>
      <c r="R67" s="1">
        <v>21.0</v>
      </c>
      <c r="S67" s="3">
        <v>1.59722274305067</v>
      </c>
      <c r="T67" s="1" t="s">
        <v>50</v>
      </c>
      <c r="U67" s="2">
        <v>4.91109595484233</v>
      </c>
      <c r="V67" s="1" t="s">
        <v>51</v>
      </c>
      <c r="W67" s="1" t="s">
        <v>45</v>
      </c>
      <c r="X67" s="3">
        <v>555.859103671743</v>
      </c>
      <c r="Y67" s="4">
        <f t="shared" si="1"/>
        <v>1920.769881</v>
      </c>
      <c r="Z67" s="5" t="str">
        <f t="shared" si="2"/>
        <v>Slow</v>
      </c>
      <c r="AA67" s="5" t="str">
        <f t="shared" si="3"/>
        <v>Delayed</v>
      </c>
      <c r="AB67" s="5" t="str">
        <f t="shared" si="4"/>
        <v>Low</v>
      </c>
    </row>
    <row r="68">
      <c r="A68" s="1" t="s">
        <v>37</v>
      </c>
      <c r="B68" s="1" t="s">
        <v>124</v>
      </c>
      <c r="C68" s="2">
        <v>26.034869773962</v>
      </c>
      <c r="D68" s="1">
        <v>52.0</v>
      </c>
      <c r="E68" s="1">
        <v>704.0</v>
      </c>
      <c r="F68" s="2">
        <v>8367.72161802015</v>
      </c>
      <c r="G68" s="1" t="s">
        <v>39</v>
      </c>
      <c r="H68" s="1">
        <v>13.0</v>
      </c>
      <c r="I68" s="1">
        <v>17.0</v>
      </c>
      <c r="J68" s="1">
        <v>19.0</v>
      </c>
      <c r="K68" s="1">
        <v>8.0</v>
      </c>
      <c r="L68" s="1" t="s">
        <v>40</v>
      </c>
      <c r="M68" s="3">
        <v>2.21614272877136</v>
      </c>
      <c r="N68" s="1" t="s">
        <v>48</v>
      </c>
      <c r="O68" s="1" t="s">
        <v>49</v>
      </c>
      <c r="P68" s="1">
        <v>24.0</v>
      </c>
      <c r="Q68" s="1">
        <v>867.0</v>
      </c>
      <c r="R68" s="1">
        <v>28.0</v>
      </c>
      <c r="S68" s="3">
        <v>42.0844367383099</v>
      </c>
      <c r="T68" s="1" t="s">
        <v>50</v>
      </c>
      <c r="U68" s="2">
        <v>3.44806328834026</v>
      </c>
      <c r="V68" s="1" t="s">
        <v>35</v>
      </c>
      <c r="W68" s="1" t="s">
        <v>52</v>
      </c>
      <c r="X68" s="3">
        <v>393.843348578427</v>
      </c>
      <c r="Y68" s="4">
        <f t="shared" si="1"/>
        <v>338.4533071</v>
      </c>
      <c r="Z68" s="5" t="str">
        <f t="shared" si="2"/>
        <v>Slow</v>
      </c>
      <c r="AA68" s="5" t="str">
        <f t="shared" si="3"/>
        <v>Delayed</v>
      </c>
      <c r="AB68" s="5" t="str">
        <f t="shared" si="4"/>
        <v>Low</v>
      </c>
    </row>
    <row r="69">
      <c r="A69" s="1" t="s">
        <v>37</v>
      </c>
      <c r="B69" s="1" t="s">
        <v>125</v>
      </c>
      <c r="C69" s="2">
        <v>87.755432354001</v>
      </c>
      <c r="D69" s="1">
        <v>16.0</v>
      </c>
      <c r="E69" s="1">
        <v>513.0</v>
      </c>
      <c r="F69" s="2">
        <v>9473.79803250833</v>
      </c>
      <c r="G69" s="1" t="s">
        <v>42</v>
      </c>
      <c r="H69" s="1">
        <v>12.0</v>
      </c>
      <c r="I69" s="1">
        <v>9.0</v>
      </c>
      <c r="J69" s="1">
        <v>71.0</v>
      </c>
      <c r="K69" s="1">
        <v>9.0</v>
      </c>
      <c r="L69" s="1" t="s">
        <v>47</v>
      </c>
      <c r="M69" s="3">
        <v>9.14781154471063</v>
      </c>
      <c r="N69" s="1" t="s">
        <v>43</v>
      </c>
      <c r="O69" s="1" t="s">
        <v>33</v>
      </c>
      <c r="P69" s="1">
        <v>10.0</v>
      </c>
      <c r="Q69" s="1">
        <v>198.0</v>
      </c>
      <c r="R69" s="1">
        <v>11.0</v>
      </c>
      <c r="S69" s="3">
        <v>7.05787614697823</v>
      </c>
      <c r="T69" s="1" t="s">
        <v>68</v>
      </c>
      <c r="U69" s="2">
        <v>0.131955444311814</v>
      </c>
      <c r="V69" s="1" t="s">
        <v>60</v>
      </c>
      <c r="W69" s="1" t="s">
        <v>45</v>
      </c>
      <c r="X69" s="3">
        <v>169.271801384786</v>
      </c>
      <c r="Y69" s="4">
        <f t="shared" si="1"/>
        <v>1053.065188</v>
      </c>
      <c r="Z69" s="5" t="str">
        <f t="shared" si="2"/>
        <v>Medium</v>
      </c>
      <c r="AA69" s="5" t="str">
        <f t="shared" si="3"/>
        <v>Delayed</v>
      </c>
      <c r="AB69" s="5" t="str">
        <f t="shared" si="4"/>
        <v>Low</v>
      </c>
    </row>
    <row r="70">
      <c r="A70" s="1" t="s">
        <v>28</v>
      </c>
      <c r="B70" s="1" t="s">
        <v>126</v>
      </c>
      <c r="C70" s="2">
        <v>37.9318123827903</v>
      </c>
      <c r="D70" s="1">
        <v>29.0</v>
      </c>
      <c r="E70" s="1">
        <v>163.0</v>
      </c>
      <c r="F70" s="2">
        <v>3550.21843278099</v>
      </c>
      <c r="G70" s="1" t="s">
        <v>30</v>
      </c>
      <c r="H70" s="1">
        <v>0.0</v>
      </c>
      <c r="I70" s="1">
        <v>8.0</v>
      </c>
      <c r="J70" s="1">
        <v>58.0</v>
      </c>
      <c r="K70" s="1">
        <v>8.0</v>
      </c>
      <c r="L70" s="1" t="s">
        <v>31</v>
      </c>
      <c r="M70" s="3">
        <v>1.19425186488499</v>
      </c>
      <c r="N70" s="1" t="s">
        <v>65</v>
      </c>
      <c r="O70" s="1" t="s">
        <v>57</v>
      </c>
      <c r="P70" s="1">
        <v>2.0</v>
      </c>
      <c r="Q70" s="1">
        <v>375.0</v>
      </c>
      <c r="R70" s="1">
        <v>18.0</v>
      </c>
      <c r="S70" s="3">
        <v>97.1135815634622</v>
      </c>
      <c r="T70" s="1" t="s">
        <v>50</v>
      </c>
      <c r="U70" s="2">
        <v>1.98346787217418</v>
      </c>
      <c r="V70" s="1" t="s">
        <v>51</v>
      </c>
      <c r="W70" s="1" t="s">
        <v>52</v>
      </c>
      <c r="X70" s="3">
        <v>299.706303118103</v>
      </c>
      <c r="Y70" s="4">
        <f t="shared" si="1"/>
        <v>0</v>
      </c>
      <c r="Z70" s="5" t="str">
        <f t="shared" si="2"/>
        <v>Medium</v>
      </c>
      <c r="AA70" s="5" t="str">
        <f t="shared" si="3"/>
        <v>Delayed</v>
      </c>
      <c r="AB70" s="5" t="str">
        <f t="shared" si="4"/>
        <v>Low</v>
      </c>
    </row>
    <row r="71">
      <c r="A71" s="1" t="s">
        <v>37</v>
      </c>
      <c r="B71" s="1" t="s">
        <v>127</v>
      </c>
      <c r="C71" s="2">
        <v>54.8655285170697</v>
      </c>
      <c r="D71" s="1">
        <v>62.0</v>
      </c>
      <c r="E71" s="1">
        <v>511.0</v>
      </c>
      <c r="F71" s="2">
        <v>1752.38108748412</v>
      </c>
      <c r="G71" s="1" t="s">
        <v>30</v>
      </c>
      <c r="H71" s="1">
        <v>95.0</v>
      </c>
      <c r="I71" s="1">
        <v>1.0</v>
      </c>
      <c r="J71" s="1">
        <v>27.0</v>
      </c>
      <c r="K71" s="1">
        <v>3.0</v>
      </c>
      <c r="L71" s="1" t="s">
        <v>31</v>
      </c>
      <c r="M71" s="3">
        <v>9.70528679012034</v>
      </c>
      <c r="N71" s="1" t="s">
        <v>56</v>
      </c>
      <c r="O71" s="1" t="s">
        <v>49</v>
      </c>
      <c r="P71" s="1">
        <v>9.0</v>
      </c>
      <c r="Q71" s="1">
        <v>862.0</v>
      </c>
      <c r="R71" s="1">
        <v>7.0</v>
      </c>
      <c r="S71" s="3">
        <v>77.6277658127481</v>
      </c>
      <c r="T71" s="1" t="s">
        <v>34</v>
      </c>
      <c r="U71" s="2">
        <v>1.3623879886491</v>
      </c>
      <c r="V71" s="1" t="s">
        <v>44</v>
      </c>
      <c r="W71" s="1" t="s">
        <v>52</v>
      </c>
      <c r="X71" s="3">
        <v>207.663206208575</v>
      </c>
      <c r="Y71" s="4">
        <f t="shared" si="1"/>
        <v>5212.225209</v>
      </c>
      <c r="Z71" s="5" t="str">
        <f t="shared" si="2"/>
        <v>Fast</v>
      </c>
      <c r="AA71" s="5" t="str">
        <f t="shared" si="3"/>
        <v>On Time</v>
      </c>
      <c r="AB71" s="5" t="str">
        <f t="shared" si="4"/>
        <v>Low</v>
      </c>
    </row>
    <row r="72">
      <c r="A72" s="1" t="s">
        <v>28</v>
      </c>
      <c r="B72" s="1" t="s">
        <v>128</v>
      </c>
      <c r="C72" s="2">
        <v>47.9145418240587</v>
      </c>
      <c r="D72" s="1">
        <v>90.0</v>
      </c>
      <c r="E72" s="1">
        <v>32.0</v>
      </c>
      <c r="F72" s="2">
        <v>7014.88798720338</v>
      </c>
      <c r="G72" s="1" t="s">
        <v>39</v>
      </c>
      <c r="H72" s="1">
        <v>10.0</v>
      </c>
      <c r="I72" s="1">
        <v>12.0</v>
      </c>
      <c r="J72" s="1">
        <v>22.0</v>
      </c>
      <c r="K72" s="1">
        <v>4.0</v>
      </c>
      <c r="L72" s="1" t="s">
        <v>31</v>
      </c>
      <c r="M72" s="3">
        <v>6.31571775460072</v>
      </c>
      <c r="N72" s="1" t="s">
        <v>43</v>
      </c>
      <c r="O72" s="1" t="s">
        <v>57</v>
      </c>
      <c r="P72" s="1">
        <v>22.0</v>
      </c>
      <c r="Q72" s="1">
        <v>775.0</v>
      </c>
      <c r="R72" s="1">
        <v>16.0</v>
      </c>
      <c r="S72" s="3">
        <v>11.4407818237612</v>
      </c>
      <c r="T72" s="1" t="s">
        <v>68</v>
      </c>
      <c r="U72" s="2">
        <v>1.83057559861223</v>
      </c>
      <c r="V72" s="1" t="s">
        <v>35</v>
      </c>
      <c r="W72" s="1" t="s">
        <v>45</v>
      </c>
      <c r="X72" s="3">
        <v>183.272898748711</v>
      </c>
      <c r="Y72" s="4">
        <f t="shared" si="1"/>
        <v>479.1454182</v>
      </c>
      <c r="Z72" s="5" t="str">
        <f t="shared" si="2"/>
        <v>Slow</v>
      </c>
      <c r="AA72" s="5" t="str">
        <f t="shared" si="3"/>
        <v>On Time</v>
      </c>
      <c r="AB72" s="5" t="str">
        <f t="shared" si="4"/>
        <v>Low</v>
      </c>
    </row>
    <row r="73">
      <c r="A73" s="1" t="s">
        <v>61</v>
      </c>
      <c r="B73" s="1" t="s">
        <v>129</v>
      </c>
      <c r="C73" s="2">
        <v>6.38153316274796</v>
      </c>
      <c r="D73" s="1">
        <v>14.0</v>
      </c>
      <c r="E73" s="1">
        <v>637.0</v>
      </c>
      <c r="F73" s="2">
        <v>8180.33708542544</v>
      </c>
      <c r="G73" s="1" t="s">
        <v>39</v>
      </c>
      <c r="H73" s="1">
        <v>76.0</v>
      </c>
      <c r="I73" s="1">
        <v>2.0</v>
      </c>
      <c r="J73" s="1">
        <v>26.0</v>
      </c>
      <c r="K73" s="1">
        <v>6.0</v>
      </c>
      <c r="L73" s="1" t="s">
        <v>40</v>
      </c>
      <c r="M73" s="3">
        <v>9.22819031705251</v>
      </c>
      <c r="N73" s="1" t="s">
        <v>65</v>
      </c>
      <c r="O73" s="1" t="s">
        <v>57</v>
      </c>
      <c r="P73" s="1">
        <v>2.0</v>
      </c>
      <c r="Q73" s="1">
        <v>258.0</v>
      </c>
      <c r="R73" s="1">
        <v>10.0</v>
      </c>
      <c r="S73" s="3">
        <v>30.6616774778595</v>
      </c>
      <c r="T73" s="1" t="s">
        <v>34</v>
      </c>
      <c r="U73" s="2">
        <v>2.07875060787496</v>
      </c>
      <c r="V73" s="1" t="s">
        <v>35</v>
      </c>
      <c r="W73" s="1" t="s">
        <v>52</v>
      </c>
      <c r="X73" s="3">
        <v>405.167067888855</v>
      </c>
      <c r="Y73" s="4">
        <f t="shared" si="1"/>
        <v>484.9965204</v>
      </c>
      <c r="Z73" s="5" t="str">
        <f t="shared" si="2"/>
        <v>Fast</v>
      </c>
      <c r="AA73" s="5" t="str">
        <f t="shared" si="3"/>
        <v>On Time</v>
      </c>
      <c r="AB73" s="5" t="str">
        <f t="shared" si="4"/>
        <v>Low</v>
      </c>
    </row>
    <row r="74">
      <c r="A74" s="1" t="s">
        <v>61</v>
      </c>
      <c r="B74" s="1" t="s">
        <v>130</v>
      </c>
      <c r="C74" s="2">
        <v>90.204427520528</v>
      </c>
      <c r="D74" s="1">
        <v>88.0</v>
      </c>
      <c r="E74" s="1">
        <v>478.0</v>
      </c>
      <c r="F74" s="2">
        <v>2633.12198131225</v>
      </c>
      <c r="G74" s="1" t="s">
        <v>30</v>
      </c>
      <c r="H74" s="1">
        <v>57.0</v>
      </c>
      <c r="I74" s="1">
        <v>29.0</v>
      </c>
      <c r="J74" s="1">
        <v>77.0</v>
      </c>
      <c r="K74" s="1">
        <v>9.0</v>
      </c>
      <c r="L74" s="1" t="s">
        <v>40</v>
      </c>
      <c r="M74" s="3">
        <v>6.59961415968954</v>
      </c>
      <c r="N74" s="1" t="s">
        <v>43</v>
      </c>
      <c r="O74" s="1" t="s">
        <v>57</v>
      </c>
      <c r="P74" s="1">
        <v>21.0</v>
      </c>
      <c r="Q74" s="1">
        <v>152.0</v>
      </c>
      <c r="R74" s="1">
        <v>11.0</v>
      </c>
      <c r="S74" s="3">
        <v>55.7604928952442</v>
      </c>
      <c r="T74" s="1" t="s">
        <v>34</v>
      </c>
      <c r="U74" s="2">
        <v>3.2133296074383</v>
      </c>
      <c r="V74" s="1" t="s">
        <v>51</v>
      </c>
      <c r="W74" s="1" t="s">
        <v>36</v>
      </c>
      <c r="X74" s="3">
        <v>677.944569846183</v>
      </c>
      <c r="Y74" s="4">
        <f t="shared" si="1"/>
        <v>5141.652369</v>
      </c>
      <c r="Z74" s="5" t="str">
        <f t="shared" si="2"/>
        <v>Slow</v>
      </c>
      <c r="AA74" s="5" t="str">
        <f t="shared" si="3"/>
        <v>Delayed</v>
      </c>
      <c r="AB74" s="5" t="str">
        <f t="shared" si="4"/>
        <v>Low</v>
      </c>
    </row>
    <row r="75">
      <c r="A75" s="1" t="s">
        <v>61</v>
      </c>
      <c r="B75" s="1" t="s">
        <v>131</v>
      </c>
      <c r="C75" s="2">
        <v>83.8510176813046</v>
      </c>
      <c r="D75" s="1">
        <v>41.0</v>
      </c>
      <c r="E75" s="1">
        <v>375.0</v>
      </c>
      <c r="F75" s="2">
        <v>7910.88691614068</v>
      </c>
      <c r="G75" s="1" t="s">
        <v>59</v>
      </c>
      <c r="H75" s="1">
        <v>17.0</v>
      </c>
      <c r="I75" s="1">
        <v>25.0</v>
      </c>
      <c r="J75" s="1">
        <v>66.0</v>
      </c>
      <c r="K75" s="1">
        <v>5.0</v>
      </c>
      <c r="L75" s="1" t="s">
        <v>31</v>
      </c>
      <c r="M75" s="3">
        <v>1.51293683691607</v>
      </c>
      <c r="N75" s="1" t="s">
        <v>56</v>
      </c>
      <c r="O75" s="1" t="s">
        <v>66</v>
      </c>
      <c r="P75" s="1">
        <v>13.0</v>
      </c>
      <c r="Q75" s="1">
        <v>444.0</v>
      </c>
      <c r="R75" s="1">
        <v>4.0</v>
      </c>
      <c r="S75" s="3">
        <v>46.8702387976171</v>
      </c>
      <c r="T75" s="1" t="s">
        <v>50</v>
      </c>
      <c r="U75" s="2">
        <v>4.6205460645137</v>
      </c>
      <c r="V75" s="1" t="s">
        <v>35</v>
      </c>
      <c r="W75" s="1" t="s">
        <v>52</v>
      </c>
      <c r="X75" s="3">
        <v>866.472800129657</v>
      </c>
      <c r="Y75" s="4">
        <f t="shared" si="1"/>
        <v>1425.467301</v>
      </c>
      <c r="Z75" s="5" t="str">
        <f t="shared" si="2"/>
        <v>Slow</v>
      </c>
      <c r="AA75" s="5" t="str">
        <f t="shared" si="3"/>
        <v>On Time</v>
      </c>
      <c r="AB75" s="5" t="str">
        <f t="shared" si="4"/>
        <v>Low</v>
      </c>
    </row>
    <row r="76">
      <c r="A76" s="1" t="s">
        <v>28</v>
      </c>
      <c r="B76" s="1" t="s">
        <v>132</v>
      </c>
      <c r="C76" s="2">
        <v>3.17001141356615</v>
      </c>
      <c r="D76" s="1">
        <v>64.0</v>
      </c>
      <c r="E76" s="1">
        <v>904.0</v>
      </c>
      <c r="F76" s="2">
        <v>5709.94529596928</v>
      </c>
      <c r="G76" s="1" t="s">
        <v>39</v>
      </c>
      <c r="H76" s="1">
        <v>41.0</v>
      </c>
      <c r="I76" s="1">
        <v>6.0</v>
      </c>
      <c r="J76" s="1">
        <v>1.0</v>
      </c>
      <c r="K76" s="1">
        <v>5.0</v>
      </c>
      <c r="L76" s="1" t="s">
        <v>40</v>
      </c>
      <c r="M76" s="3">
        <v>5.23765465003744</v>
      </c>
      <c r="N76" s="1" t="s">
        <v>56</v>
      </c>
      <c r="O76" s="1" t="s">
        <v>54</v>
      </c>
      <c r="P76" s="1">
        <v>1.0</v>
      </c>
      <c r="Q76" s="1">
        <v>919.0</v>
      </c>
      <c r="R76" s="1">
        <v>9.0</v>
      </c>
      <c r="S76" s="3">
        <v>80.5808521564478</v>
      </c>
      <c r="T76" s="1" t="s">
        <v>50</v>
      </c>
      <c r="U76" s="2">
        <v>0.396612724109935</v>
      </c>
      <c r="V76" s="1" t="s">
        <v>51</v>
      </c>
      <c r="W76" s="1" t="s">
        <v>52</v>
      </c>
      <c r="X76" s="3">
        <v>341.552656783223</v>
      </c>
      <c r="Y76" s="4">
        <f t="shared" si="1"/>
        <v>129.970468</v>
      </c>
      <c r="Z76" s="5" t="str">
        <f t="shared" si="2"/>
        <v>Medium</v>
      </c>
      <c r="AA76" s="5" t="str">
        <f t="shared" si="3"/>
        <v>On Time</v>
      </c>
      <c r="AB76" s="5" t="str">
        <f t="shared" si="4"/>
        <v>Low</v>
      </c>
    </row>
    <row r="77">
      <c r="A77" s="1" t="s">
        <v>37</v>
      </c>
      <c r="B77" s="1" t="s">
        <v>133</v>
      </c>
      <c r="C77" s="2">
        <v>92.9968842339706</v>
      </c>
      <c r="D77" s="1">
        <v>29.0</v>
      </c>
      <c r="E77" s="1">
        <v>106.0</v>
      </c>
      <c r="F77" s="2">
        <v>1889.07358977933</v>
      </c>
      <c r="G77" s="1" t="s">
        <v>30</v>
      </c>
      <c r="H77" s="1">
        <v>16.0</v>
      </c>
      <c r="I77" s="1">
        <v>20.0</v>
      </c>
      <c r="J77" s="1">
        <v>56.0</v>
      </c>
      <c r="K77" s="1">
        <v>10.0</v>
      </c>
      <c r="L77" s="1" t="s">
        <v>47</v>
      </c>
      <c r="M77" s="3">
        <v>2.47389776104546</v>
      </c>
      <c r="N77" s="1" t="s">
        <v>43</v>
      </c>
      <c r="O77" s="1" t="s">
        <v>66</v>
      </c>
      <c r="P77" s="1">
        <v>25.0</v>
      </c>
      <c r="Q77" s="1">
        <v>759.0</v>
      </c>
      <c r="R77" s="1">
        <v>11.0</v>
      </c>
      <c r="S77" s="3">
        <v>48.0647826400065</v>
      </c>
      <c r="T77" s="1" t="s">
        <v>68</v>
      </c>
      <c r="U77" s="2">
        <v>2.03006908866875</v>
      </c>
      <c r="V77" s="1" t="s">
        <v>44</v>
      </c>
      <c r="W77" s="1" t="s">
        <v>45</v>
      </c>
      <c r="X77" s="3">
        <v>873.129648017651</v>
      </c>
      <c r="Y77" s="4">
        <f t="shared" si="1"/>
        <v>1487.950148</v>
      </c>
      <c r="Z77" s="5" t="str">
        <f t="shared" si="2"/>
        <v>Slow</v>
      </c>
      <c r="AA77" s="5" t="str">
        <f t="shared" si="3"/>
        <v>Delayed</v>
      </c>
      <c r="AB77" s="5" t="str">
        <f t="shared" si="4"/>
        <v>Low</v>
      </c>
    </row>
    <row r="78">
      <c r="A78" s="1" t="s">
        <v>28</v>
      </c>
      <c r="B78" s="1" t="s">
        <v>134</v>
      </c>
      <c r="C78" s="2">
        <v>69.1087995474303</v>
      </c>
      <c r="D78" s="1">
        <v>23.0</v>
      </c>
      <c r="E78" s="1">
        <v>241.0</v>
      </c>
      <c r="F78" s="2">
        <v>5328.37598429775</v>
      </c>
      <c r="G78" s="1" t="s">
        <v>59</v>
      </c>
      <c r="H78" s="1">
        <v>38.0</v>
      </c>
      <c r="I78" s="1">
        <v>1.0</v>
      </c>
      <c r="J78" s="1">
        <v>22.0</v>
      </c>
      <c r="K78" s="1">
        <v>10.0</v>
      </c>
      <c r="L78" s="1" t="s">
        <v>40</v>
      </c>
      <c r="M78" s="3">
        <v>7.05453833683692</v>
      </c>
      <c r="N78" s="1" t="s">
        <v>65</v>
      </c>
      <c r="O78" s="1" t="s">
        <v>57</v>
      </c>
      <c r="P78" s="1">
        <v>25.0</v>
      </c>
      <c r="Q78" s="1">
        <v>985.0</v>
      </c>
      <c r="R78" s="1">
        <v>24.0</v>
      </c>
      <c r="S78" s="3">
        <v>64.3235977956002</v>
      </c>
      <c r="T78" s="1" t="s">
        <v>34</v>
      </c>
      <c r="U78" s="2">
        <v>2.18003745158221</v>
      </c>
      <c r="V78" s="1" t="s">
        <v>51</v>
      </c>
      <c r="W78" s="1" t="s">
        <v>52</v>
      </c>
      <c r="X78" s="3">
        <v>997.413450133194</v>
      </c>
      <c r="Y78" s="4">
        <f t="shared" si="1"/>
        <v>2626.134383</v>
      </c>
      <c r="Z78" s="5" t="str">
        <f t="shared" si="2"/>
        <v>Fast</v>
      </c>
      <c r="AA78" s="5" t="str">
        <f t="shared" si="3"/>
        <v>Delayed</v>
      </c>
      <c r="AB78" s="5" t="str">
        <f t="shared" si="4"/>
        <v>Low</v>
      </c>
    </row>
    <row r="79">
      <c r="A79" s="1" t="s">
        <v>28</v>
      </c>
      <c r="B79" s="1" t="s">
        <v>135</v>
      </c>
      <c r="C79" s="2">
        <v>57.4497429589714</v>
      </c>
      <c r="D79" s="1">
        <v>14.0</v>
      </c>
      <c r="E79" s="1">
        <v>359.0</v>
      </c>
      <c r="F79" s="2">
        <v>2483.76017754279</v>
      </c>
      <c r="G79" s="1" t="s">
        <v>42</v>
      </c>
      <c r="H79" s="1">
        <v>96.0</v>
      </c>
      <c r="I79" s="1">
        <v>28.0</v>
      </c>
      <c r="J79" s="1">
        <v>57.0</v>
      </c>
      <c r="K79" s="1">
        <v>4.0</v>
      </c>
      <c r="L79" s="1" t="s">
        <v>31</v>
      </c>
      <c r="M79" s="3">
        <v>6.78094662561789</v>
      </c>
      <c r="N79" s="1" t="s">
        <v>43</v>
      </c>
      <c r="O79" s="1" t="s">
        <v>49</v>
      </c>
      <c r="P79" s="1">
        <v>26.0</v>
      </c>
      <c r="Q79" s="1">
        <v>334.0</v>
      </c>
      <c r="R79" s="1">
        <v>5.0</v>
      </c>
      <c r="S79" s="3">
        <v>42.9524447489918</v>
      </c>
      <c r="T79" s="1" t="s">
        <v>68</v>
      </c>
      <c r="U79" s="2">
        <v>3.05514181830754</v>
      </c>
      <c r="V79" s="1" t="s">
        <v>35</v>
      </c>
      <c r="W79" s="1" t="s">
        <v>36</v>
      </c>
      <c r="X79" s="3">
        <v>852.56809891985</v>
      </c>
      <c r="Y79" s="4">
        <f t="shared" si="1"/>
        <v>5515.175324</v>
      </c>
      <c r="Z79" s="5" t="str">
        <f t="shared" si="2"/>
        <v>Slow</v>
      </c>
      <c r="AA79" s="5" t="str">
        <f t="shared" si="3"/>
        <v>On Time</v>
      </c>
      <c r="AB79" s="5" t="str">
        <f t="shared" si="4"/>
        <v>Low</v>
      </c>
    </row>
    <row r="80">
      <c r="A80" s="1" t="s">
        <v>28</v>
      </c>
      <c r="B80" s="1" t="s">
        <v>136</v>
      </c>
      <c r="C80" s="2">
        <v>6.30688317611191</v>
      </c>
      <c r="D80" s="1">
        <v>50.0</v>
      </c>
      <c r="E80" s="1">
        <v>946.0</v>
      </c>
      <c r="F80" s="2">
        <v>1292.45841793775</v>
      </c>
      <c r="G80" s="1" t="s">
        <v>42</v>
      </c>
      <c r="H80" s="1">
        <v>5.0</v>
      </c>
      <c r="I80" s="1">
        <v>4.0</v>
      </c>
      <c r="J80" s="1">
        <v>51.0</v>
      </c>
      <c r="K80" s="1">
        <v>5.0</v>
      </c>
      <c r="L80" s="1" t="s">
        <v>31</v>
      </c>
      <c r="M80" s="3">
        <v>8.46704977086199</v>
      </c>
      <c r="N80" s="1" t="s">
        <v>48</v>
      </c>
      <c r="O80" s="1" t="s">
        <v>33</v>
      </c>
      <c r="P80" s="1">
        <v>25.0</v>
      </c>
      <c r="Q80" s="1">
        <v>858.0</v>
      </c>
      <c r="R80" s="1">
        <v>21.0</v>
      </c>
      <c r="S80" s="3">
        <v>71.1265147204033</v>
      </c>
      <c r="T80" s="1" t="s">
        <v>34</v>
      </c>
      <c r="U80" s="2">
        <v>4.09688133247045</v>
      </c>
      <c r="V80" s="1" t="s">
        <v>60</v>
      </c>
      <c r="W80" s="1" t="s">
        <v>45</v>
      </c>
      <c r="X80" s="3">
        <v>323.592203431322</v>
      </c>
      <c r="Y80" s="4">
        <f t="shared" si="1"/>
        <v>31.53441588</v>
      </c>
      <c r="Z80" s="5" t="str">
        <f t="shared" si="2"/>
        <v>Fast</v>
      </c>
      <c r="AA80" s="5" t="str">
        <f t="shared" si="3"/>
        <v>On Time</v>
      </c>
      <c r="AB80" s="5" t="str">
        <f t="shared" si="4"/>
        <v>Low</v>
      </c>
    </row>
    <row r="81">
      <c r="A81" s="1" t="s">
        <v>28</v>
      </c>
      <c r="B81" s="1" t="s">
        <v>137</v>
      </c>
      <c r="C81" s="2">
        <v>57.0570312211032</v>
      </c>
      <c r="D81" s="1">
        <v>56.0</v>
      </c>
      <c r="E81" s="1">
        <v>198.0</v>
      </c>
      <c r="F81" s="2">
        <v>7888.72326842708</v>
      </c>
      <c r="G81" s="1" t="s">
        <v>30</v>
      </c>
      <c r="H81" s="1">
        <v>31.0</v>
      </c>
      <c r="I81" s="1">
        <v>25.0</v>
      </c>
      <c r="J81" s="1">
        <v>20.0</v>
      </c>
      <c r="K81" s="1">
        <v>1.0</v>
      </c>
      <c r="L81" s="1" t="s">
        <v>31</v>
      </c>
      <c r="M81" s="3">
        <v>6.49632536429504</v>
      </c>
      <c r="N81" s="1" t="s">
        <v>32</v>
      </c>
      <c r="O81" s="1" t="s">
        <v>57</v>
      </c>
      <c r="P81" s="1">
        <v>5.0</v>
      </c>
      <c r="Q81" s="1">
        <v>228.0</v>
      </c>
      <c r="R81" s="1">
        <v>12.0</v>
      </c>
      <c r="S81" s="3">
        <v>57.8709029240362</v>
      </c>
      <c r="T81" s="1" t="s">
        <v>34</v>
      </c>
      <c r="U81" s="2">
        <v>0.165871627480608</v>
      </c>
      <c r="V81" s="1" t="s">
        <v>44</v>
      </c>
      <c r="W81" s="1" t="s">
        <v>45</v>
      </c>
      <c r="X81" s="3">
        <v>351.504219335038</v>
      </c>
      <c r="Y81" s="4">
        <f t="shared" si="1"/>
        <v>1768.767968</v>
      </c>
      <c r="Z81" s="5" t="str">
        <f t="shared" si="2"/>
        <v>Slow</v>
      </c>
      <c r="AA81" s="5" t="str">
        <f t="shared" si="3"/>
        <v>On Time</v>
      </c>
      <c r="AB81" s="5" t="str">
        <f t="shared" si="4"/>
        <v>Low</v>
      </c>
    </row>
    <row r="82">
      <c r="A82" s="1" t="s">
        <v>37</v>
      </c>
      <c r="B82" s="1" t="s">
        <v>138</v>
      </c>
      <c r="C82" s="2">
        <v>91.1283183504443</v>
      </c>
      <c r="D82" s="1">
        <v>75.0</v>
      </c>
      <c r="E82" s="1">
        <v>872.0</v>
      </c>
      <c r="F82" s="2">
        <v>8651.67268298206</v>
      </c>
      <c r="G82" s="1" t="s">
        <v>42</v>
      </c>
      <c r="H82" s="1">
        <v>39.0</v>
      </c>
      <c r="I82" s="1">
        <v>14.0</v>
      </c>
      <c r="J82" s="1">
        <v>41.0</v>
      </c>
      <c r="K82" s="1">
        <v>2.0</v>
      </c>
      <c r="L82" s="1" t="s">
        <v>47</v>
      </c>
      <c r="M82" s="3">
        <v>2.83318467941897</v>
      </c>
      <c r="N82" s="1" t="s">
        <v>32</v>
      </c>
      <c r="O82" s="1" t="s">
        <v>66</v>
      </c>
      <c r="P82" s="1">
        <v>8.0</v>
      </c>
      <c r="Q82" s="1">
        <v>202.0</v>
      </c>
      <c r="R82" s="1">
        <v>5.0</v>
      </c>
      <c r="S82" s="3">
        <v>76.96122802382</v>
      </c>
      <c r="T82" s="1" t="s">
        <v>50</v>
      </c>
      <c r="U82" s="2">
        <v>2.84966219850533</v>
      </c>
      <c r="V82" s="1" t="s">
        <v>60</v>
      </c>
      <c r="W82" s="1" t="s">
        <v>36</v>
      </c>
      <c r="X82" s="3">
        <v>787.779850494344</v>
      </c>
      <c r="Y82" s="4">
        <f t="shared" si="1"/>
        <v>3554.004416</v>
      </c>
      <c r="Z82" s="5" t="str">
        <f t="shared" si="2"/>
        <v>Slow</v>
      </c>
      <c r="AA82" s="5" t="str">
        <f t="shared" si="3"/>
        <v>On Time</v>
      </c>
      <c r="AB82" s="5" t="str">
        <f t="shared" si="4"/>
        <v>Low</v>
      </c>
    </row>
    <row r="83">
      <c r="A83" s="1" t="s">
        <v>28</v>
      </c>
      <c r="B83" s="1" t="s">
        <v>139</v>
      </c>
      <c r="C83" s="2">
        <v>72.8192069303182</v>
      </c>
      <c r="D83" s="1">
        <v>9.0</v>
      </c>
      <c r="E83" s="1">
        <v>774.0</v>
      </c>
      <c r="F83" s="2">
        <v>4384.41340004586</v>
      </c>
      <c r="G83" s="1" t="s">
        <v>42</v>
      </c>
      <c r="H83" s="1">
        <v>48.0</v>
      </c>
      <c r="I83" s="1">
        <v>6.0</v>
      </c>
      <c r="J83" s="1">
        <v>8.0</v>
      </c>
      <c r="K83" s="1">
        <v>5.0</v>
      </c>
      <c r="L83" s="1" t="s">
        <v>31</v>
      </c>
      <c r="M83" s="3">
        <v>4.06627750151204</v>
      </c>
      <c r="N83" s="1" t="s">
        <v>32</v>
      </c>
      <c r="O83" s="1" t="s">
        <v>54</v>
      </c>
      <c r="P83" s="1">
        <v>28.0</v>
      </c>
      <c r="Q83" s="1">
        <v>698.0</v>
      </c>
      <c r="R83" s="1">
        <v>1.0</v>
      </c>
      <c r="S83" s="3">
        <v>19.7895929419036</v>
      </c>
      <c r="T83" s="1" t="s">
        <v>34</v>
      </c>
      <c r="U83" s="2">
        <v>2.54754712154871</v>
      </c>
      <c r="V83" s="1" t="s">
        <v>51</v>
      </c>
      <c r="W83" s="1" t="s">
        <v>36</v>
      </c>
      <c r="X83" s="3">
        <v>276.778335946798</v>
      </c>
      <c r="Y83" s="4">
        <f t="shared" si="1"/>
        <v>3495.321933</v>
      </c>
      <c r="Z83" s="5" t="str">
        <f t="shared" si="2"/>
        <v>Medium</v>
      </c>
      <c r="AA83" s="5" t="str">
        <f t="shared" si="3"/>
        <v>On Time</v>
      </c>
      <c r="AB83" s="5" t="str">
        <f t="shared" si="4"/>
        <v>Low</v>
      </c>
    </row>
    <row r="84">
      <c r="A84" s="1" t="s">
        <v>37</v>
      </c>
      <c r="B84" s="1" t="s">
        <v>140</v>
      </c>
      <c r="C84" s="2">
        <v>17.0349307394679</v>
      </c>
      <c r="D84" s="1">
        <v>13.0</v>
      </c>
      <c r="E84" s="1">
        <v>336.0</v>
      </c>
      <c r="F84" s="2">
        <v>2943.38186760945</v>
      </c>
      <c r="G84" s="1" t="s">
        <v>42</v>
      </c>
      <c r="H84" s="1">
        <v>42.0</v>
      </c>
      <c r="I84" s="1">
        <v>19.0</v>
      </c>
      <c r="J84" s="1">
        <v>72.0</v>
      </c>
      <c r="K84" s="1">
        <v>1.0</v>
      </c>
      <c r="L84" s="1" t="s">
        <v>40</v>
      </c>
      <c r="M84" s="3">
        <v>4.70818187354193</v>
      </c>
      <c r="N84" s="1" t="s">
        <v>65</v>
      </c>
      <c r="O84" s="1" t="s">
        <v>33</v>
      </c>
      <c r="P84" s="1">
        <v>6.0</v>
      </c>
      <c r="Q84" s="1">
        <v>955.0</v>
      </c>
      <c r="R84" s="1">
        <v>26.0</v>
      </c>
      <c r="S84" s="3">
        <v>4.46527843494324</v>
      </c>
      <c r="T84" s="1" t="s">
        <v>34</v>
      </c>
      <c r="U84" s="2">
        <v>4.13787704862235</v>
      </c>
      <c r="V84" s="1" t="s">
        <v>35</v>
      </c>
      <c r="W84" s="1" t="s">
        <v>45</v>
      </c>
      <c r="X84" s="3">
        <v>589.97855562804</v>
      </c>
      <c r="Y84" s="4">
        <f t="shared" si="1"/>
        <v>715.4670911</v>
      </c>
      <c r="Z84" s="5" t="str">
        <f t="shared" si="2"/>
        <v>Slow</v>
      </c>
      <c r="AA84" s="5" t="str">
        <f t="shared" si="3"/>
        <v>On Time</v>
      </c>
      <c r="AB84" s="5" t="str">
        <f t="shared" si="4"/>
        <v>Low</v>
      </c>
    </row>
    <row r="85">
      <c r="A85" s="1" t="s">
        <v>28</v>
      </c>
      <c r="B85" s="1" t="s">
        <v>141</v>
      </c>
      <c r="C85" s="2">
        <v>68.9112462116063</v>
      </c>
      <c r="D85" s="1">
        <v>82.0</v>
      </c>
      <c r="E85" s="1">
        <v>663.0</v>
      </c>
      <c r="F85" s="2">
        <v>2411.75463211049</v>
      </c>
      <c r="G85" s="1" t="s">
        <v>42</v>
      </c>
      <c r="H85" s="1">
        <v>65.0</v>
      </c>
      <c r="I85" s="1">
        <v>24.0</v>
      </c>
      <c r="J85" s="1">
        <v>7.0</v>
      </c>
      <c r="K85" s="1">
        <v>8.0</v>
      </c>
      <c r="L85" s="1" t="s">
        <v>31</v>
      </c>
      <c r="M85" s="3">
        <v>4.94983957799694</v>
      </c>
      <c r="N85" s="1" t="s">
        <v>43</v>
      </c>
      <c r="O85" s="1" t="s">
        <v>57</v>
      </c>
      <c r="P85" s="1">
        <v>20.0</v>
      </c>
      <c r="Q85" s="1">
        <v>443.0</v>
      </c>
      <c r="R85" s="1">
        <v>5.0</v>
      </c>
      <c r="S85" s="3">
        <v>97.730593800533</v>
      </c>
      <c r="T85" s="1" t="s">
        <v>50</v>
      </c>
      <c r="U85" s="2">
        <v>0.773006134067247</v>
      </c>
      <c r="V85" s="1" t="s">
        <v>35</v>
      </c>
      <c r="W85" s="1" t="s">
        <v>52</v>
      </c>
      <c r="X85" s="3">
        <v>682.971018226093</v>
      </c>
      <c r="Y85" s="4">
        <f t="shared" si="1"/>
        <v>4479.231004</v>
      </c>
      <c r="Z85" s="5" t="str">
        <f t="shared" si="2"/>
        <v>Slow</v>
      </c>
      <c r="AA85" s="5" t="str">
        <f t="shared" si="3"/>
        <v>Delayed</v>
      </c>
      <c r="AB85" s="5" t="str">
        <f t="shared" si="4"/>
        <v>Low</v>
      </c>
    </row>
    <row r="86">
      <c r="A86" s="1" t="s">
        <v>28</v>
      </c>
      <c r="B86" s="1" t="s">
        <v>142</v>
      </c>
      <c r="C86" s="2">
        <v>89.1043672921022</v>
      </c>
      <c r="D86" s="1">
        <v>99.0</v>
      </c>
      <c r="E86" s="1">
        <v>618.0</v>
      </c>
      <c r="F86" s="2">
        <v>2048.29009984871</v>
      </c>
      <c r="G86" s="1" t="s">
        <v>42</v>
      </c>
      <c r="H86" s="1">
        <v>73.0</v>
      </c>
      <c r="I86" s="1">
        <v>26.0</v>
      </c>
      <c r="J86" s="1">
        <v>80.0</v>
      </c>
      <c r="K86" s="1">
        <v>10.0</v>
      </c>
      <c r="L86" s="1" t="s">
        <v>40</v>
      </c>
      <c r="M86" s="3">
        <v>8.38161562492263</v>
      </c>
      <c r="N86" s="1" t="s">
        <v>48</v>
      </c>
      <c r="O86" s="1" t="s">
        <v>66</v>
      </c>
      <c r="P86" s="1">
        <v>24.0</v>
      </c>
      <c r="Q86" s="1">
        <v>589.0</v>
      </c>
      <c r="R86" s="1">
        <v>22.0</v>
      </c>
      <c r="S86" s="3">
        <v>33.808636513209</v>
      </c>
      <c r="T86" s="1" t="s">
        <v>68</v>
      </c>
      <c r="U86" s="2">
        <v>4.84345657711804</v>
      </c>
      <c r="V86" s="1" t="s">
        <v>44</v>
      </c>
      <c r="W86" s="1" t="s">
        <v>36</v>
      </c>
      <c r="X86" s="3">
        <v>465.457005963687</v>
      </c>
      <c r="Y86" s="4">
        <f t="shared" si="1"/>
        <v>6504.618812</v>
      </c>
      <c r="Z86" s="5" t="str">
        <f t="shared" si="2"/>
        <v>Slow</v>
      </c>
      <c r="AA86" s="5" t="str">
        <f t="shared" si="3"/>
        <v>Delayed</v>
      </c>
      <c r="AB86" s="5" t="str">
        <f t="shared" si="4"/>
        <v>Low</v>
      </c>
    </row>
    <row r="87">
      <c r="A87" s="1" t="s">
        <v>61</v>
      </c>
      <c r="B87" s="1" t="s">
        <v>143</v>
      </c>
      <c r="C87" s="2">
        <v>76.9629944151938</v>
      </c>
      <c r="D87" s="1">
        <v>83.0</v>
      </c>
      <c r="E87" s="1">
        <v>25.0</v>
      </c>
      <c r="F87" s="2">
        <v>8684.61305925385</v>
      </c>
      <c r="G87" s="1" t="s">
        <v>39</v>
      </c>
      <c r="H87" s="1">
        <v>15.0</v>
      </c>
      <c r="I87" s="1">
        <v>18.0</v>
      </c>
      <c r="J87" s="1">
        <v>66.0</v>
      </c>
      <c r="K87" s="1">
        <v>2.0</v>
      </c>
      <c r="L87" s="1" t="s">
        <v>47</v>
      </c>
      <c r="M87" s="3">
        <v>8.24916870487172</v>
      </c>
      <c r="N87" s="1" t="s">
        <v>48</v>
      </c>
      <c r="O87" s="1" t="s">
        <v>66</v>
      </c>
      <c r="P87" s="1">
        <v>4.0</v>
      </c>
      <c r="Q87" s="1">
        <v>211.0</v>
      </c>
      <c r="R87" s="1">
        <v>2.0</v>
      </c>
      <c r="S87" s="3">
        <v>69.9293455186723</v>
      </c>
      <c r="T87" s="1" t="s">
        <v>50</v>
      </c>
      <c r="U87" s="2">
        <v>1.37442899974575</v>
      </c>
      <c r="V87" s="1" t="s">
        <v>35</v>
      </c>
      <c r="W87" s="1" t="s">
        <v>36</v>
      </c>
      <c r="X87" s="3">
        <v>842.686830004641</v>
      </c>
      <c r="Y87" s="4">
        <f t="shared" si="1"/>
        <v>1154.444916</v>
      </c>
      <c r="Z87" s="5" t="str">
        <f t="shared" si="2"/>
        <v>Slow</v>
      </c>
      <c r="AA87" s="5" t="str">
        <f t="shared" si="3"/>
        <v>On Time</v>
      </c>
      <c r="AB87" s="5" t="str">
        <f t="shared" si="4"/>
        <v>Low</v>
      </c>
    </row>
    <row r="88">
      <c r="A88" s="1" t="s">
        <v>37</v>
      </c>
      <c r="B88" s="1" t="s">
        <v>144</v>
      </c>
      <c r="C88" s="2">
        <v>19.9981769404042</v>
      </c>
      <c r="D88" s="1">
        <v>18.0</v>
      </c>
      <c r="E88" s="1">
        <v>223.0</v>
      </c>
      <c r="F88" s="2">
        <v>1229.59102856498</v>
      </c>
      <c r="G88" s="1" t="s">
        <v>42</v>
      </c>
      <c r="H88" s="1">
        <v>32.0</v>
      </c>
      <c r="I88" s="1">
        <v>14.0</v>
      </c>
      <c r="J88" s="1">
        <v>22.0</v>
      </c>
      <c r="K88" s="1">
        <v>6.0</v>
      </c>
      <c r="L88" s="1" t="s">
        <v>31</v>
      </c>
      <c r="M88" s="3">
        <v>1.45430531015355</v>
      </c>
      <c r="N88" s="1" t="s">
        <v>43</v>
      </c>
      <c r="O88" s="1" t="s">
        <v>33</v>
      </c>
      <c r="P88" s="1">
        <v>4.0</v>
      </c>
      <c r="Q88" s="1">
        <v>569.0</v>
      </c>
      <c r="R88" s="1">
        <v>18.0</v>
      </c>
      <c r="S88" s="3">
        <v>74.6089699951946</v>
      </c>
      <c r="T88" s="1" t="s">
        <v>68</v>
      </c>
      <c r="U88" s="2">
        <v>2.05151293076624</v>
      </c>
      <c r="V88" s="1" t="s">
        <v>51</v>
      </c>
      <c r="W88" s="1" t="s">
        <v>52</v>
      </c>
      <c r="X88" s="3">
        <v>264.254889835866</v>
      </c>
      <c r="Y88" s="4">
        <f t="shared" si="1"/>
        <v>639.9416621</v>
      </c>
      <c r="Z88" s="5" t="str">
        <f t="shared" si="2"/>
        <v>Slow</v>
      </c>
      <c r="AA88" s="5" t="str">
        <f t="shared" si="3"/>
        <v>On Time</v>
      </c>
      <c r="AB88" s="5" t="str">
        <f t="shared" si="4"/>
        <v>Low</v>
      </c>
    </row>
    <row r="89">
      <c r="A89" s="1" t="s">
        <v>28</v>
      </c>
      <c r="B89" s="1" t="s">
        <v>145</v>
      </c>
      <c r="C89" s="2">
        <v>80.4140366503557</v>
      </c>
      <c r="D89" s="1">
        <v>24.0</v>
      </c>
      <c r="E89" s="1">
        <v>79.0</v>
      </c>
      <c r="F89" s="2">
        <v>5133.84670108669</v>
      </c>
      <c r="G89" s="1" t="s">
        <v>59</v>
      </c>
      <c r="H89" s="1">
        <v>5.0</v>
      </c>
      <c r="I89" s="1">
        <v>7.0</v>
      </c>
      <c r="J89" s="1">
        <v>55.0</v>
      </c>
      <c r="K89" s="1">
        <v>10.0</v>
      </c>
      <c r="L89" s="1" t="s">
        <v>40</v>
      </c>
      <c r="M89" s="3">
        <v>6.57580379754853</v>
      </c>
      <c r="N89" s="1" t="s">
        <v>32</v>
      </c>
      <c r="O89" s="1" t="s">
        <v>66</v>
      </c>
      <c r="P89" s="1">
        <v>27.0</v>
      </c>
      <c r="Q89" s="1">
        <v>523.0</v>
      </c>
      <c r="R89" s="1">
        <v>17.0</v>
      </c>
      <c r="S89" s="3">
        <v>28.6969968241431</v>
      </c>
      <c r="T89" s="1" t="s">
        <v>50</v>
      </c>
      <c r="U89" s="2">
        <v>3.69373778783927</v>
      </c>
      <c r="V89" s="1" t="s">
        <v>60</v>
      </c>
      <c r="W89" s="1" t="s">
        <v>36</v>
      </c>
      <c r="X89" s="3">
        <v>879.359217734924</v>
      </c>
      <c r="Y89" s="4">
        <f t="shared" si="1"/>
        <v>402.0701833</v>
      </c>
      <c r="Z89" s="5" t="str">
        <f t="shared" si="2"/>
        <v>Medium</v>
      </c>
      <c r="AA89" s="5" t="str">
        <f t="shared" si="3"/>
        <v>Delayed</v>
      </c>
      <c r="AB89" s="5" t="str">
        <f t="shared" si="4"/>
        <v>Low</v>
      </c>
    </row>
    <row r="90">
      <c r="A90" s="1" t="s">
        <v>61</v>
      </c>
      <c r="B90" s="1" t="s">
        <v>146</v>
      </c>
      <c r="C90" s="2">
        <v>75.270406975725</v>
      </c>
      <c r="D90" s="1">
        <v>58.0</v>
      </c>
      <c r="E90" s="1">
        <v>737.0</v>
      </c>
      <c r="F90" s="2">
        <v>9444.74203306298</v>
      </c>
      <c r="G90" s="1" t="s">
        <v>59</v>
      </c>
      <c r="H90" s="1">
        <v>60.0</v>
      </c>
      <c r="I90" s="1">
        <v>18.0</v>
      </c>
      <c r="J90" s="1">
        <v>85.0</v>
      </c>
      <c r="K90" s="1">
        <v>7.0</v>
      </c>
      <c r="L90" s="1" t="s">
        <v>40</v>
      </c>
      <c r="M90" s="3">
        <v>3.80125313293107</v>
      </c>
      <c r="N90" s="1" t="s">
        <v>65</v>
      </c>
      <c r="O90" s="1" t="s">
        <v>33</v>
      </c>
      <c r="P90" s="1">
        <v>21.0</v>
      </c>
      <c r="Q90" s="1">
        <v>953.0</v>
      </c>
      <c r="R90" s="1">
        <v>11.0</v>
      </c>
      <c r="S90" s="3">
        <v>68.1849190570411</v>
      </c>
      <c r="T90" s="1" t="s">
        <v>34</v>
      </c>
      <c r="U90" s="2">
        <v>0.722204401882931</v>
      </c>
      <c r="V90" s="1" t="s">
        <v>60</v>
      </c>
      <c r="W90" s="1" t="s">
        <v>52</v>
      </c>
      <c r="X90" s="3">
        <v>103.916247960704</v>
      </c>
      <c r="Y90" s="4">
        <f t="shared" si="1"/>
        <v>4516.224419</v>
      </c>
      <c r="Z90" s="5" t="str">
        <f t="shared" si="2"/>
        <v>Slow</v>
      </c>
      <c r="AA90" s="5" t="str">
        <f t="shared" si="3"/>
        <v>On Time</v>
      </c>
      <c r="AB90" s="5" t="str">
        <f t="shared" si="4"/>
        <v>Low</v>
      </c>
    </row>
    <row r="91">
      <c r="A91" s="1" t="s">
        <v>61</v>
      </c>
      <c r="B91" s="1" t="s">
        <v>147</v>
      </c>
      <c r="C91" s="2">
        <v>97.7600855819386</v>
      </c>
      <c r="D91" s="1">
        <v>10.0</v>
      </c>
      <c r="E91" s="1">
        <v>134.0</v>
      </c>
      <c r="F91" s="2">
        <v>5924.68256685323</v>
      </c>
      <c r="G91" s="1" t="s">
        <v>42</v>
      </c>
      <c r="H91" s="1">
        <v>90.0</v>
      </c>
      <c r="I91" s="1">
        <v>1.0</v>
      </c>
      <c r="J91" s="1">
        <v>27.0</v>
      </c>
      <c r="K91" s="1">
        <v>8.0</v>
      </c>
      <c r="L91" s="1" t="s">
        <v>31</v>
      </c>
      <c r="M91" s="3">
        <v>9.92981624527725</v>
      </c>
      <c r="N91" s="1" t="s">
        <v>43</v>
      </c>
      <c r="O91" s="1" t="s">
        <v>49</v>
      </c>
      <c r="P91" s="1">
        <v>23.0</v>
      </c>
      <c r="Q91" s="1">
        <v>370.0</v>
      </c>
      <c r="R91" s="1">
        <v>11.0</v>
      </c>
      <c r="S91" s="3">
        <v>46.6038733816444</v>
      </c>
      <c r="T91" s="1" t="s">
        <v>34</v>
      </c>
      <c r="U91" s="2">
        <v>1.90766573395907</v>
      </c>
      <c r="V91" s="1" t="s">
        <v>51</v>
      </c>
      <c r="W91" s="1" t="s">
        <v>36</v>
      </c>
      <c r="X91" s="3">
        <v>517.49997392906</v>
      </c>
      <c r="Y91" s="4">
        <f t="shared" si="1"/>
        <v>8798.407702</v>
      </c>
      <c r="Z91" s="5" t="str">
        <f t="shared" si="2"/>
        <v>Fast</v>
      </c>
      <c r="AA91" s="5" t="str">
        <f t="shared" si="3"/>
        <v>Delayed</v>
      </c>
      <c r="AB91" s="5" t="str">
        <f t="shared" si="4"/>
        <v>Low</v>
      </c>
    </row>
    <row r="92">
      <c r="A92" s="1" t="s">
        <v>37</v>
      </c>
      <c r="B92" s="1" t="s">
        <v>148</v>
      </c>
      <c r="C92" s="2">
        <v>13.8819135013591</v>
      </c>
      <c r="D92" s="1">
        <v>56.0</v>
      </c>
      <c r="E92" s="1">
        <v>320.0</v>
      </c>
      <c r="F92" s="2">
        <v>9592.63357028031</v>
      </c>
      <c r="G92" s="1" t="s">
        <v>30</v>
      </c>
      <c r="H92" s="1">
        <v>66.0</v>
      </c>
      <c r="I92" s="1">
        <v>18.0</v>
      </c>
      <c r="J92" s="1">
        <v>96.0</v>
      </c>
      <c r="K92" s="1">
        <v>7.0</v>
      </c>
      <c r="L92" s="1" t="s">
        <v>31</v>
      </c>
      <c r="M92" s="3">
        <v>7.67443070811269</v>
      </c>
      <c r="N92" s="1" t="s">
        <v>32</v>
      </c>
      <c r="O92" s="1" t="s">
        <v>57</v>
      </c>
      <c r="P92" s="1">
        <v>8.0</v>
      </c>
      <c r="Q92" s="1">
        <v>585.0</v>
      </c>
      <c r="R92" s="1">
        <v>8.0</v>
      </c>
      <c r="S92" s="3">
        <v>85.6759633357979</v>
      </c>
      <c r="T92" s="1" t="s">
        <v>68</v>
      </c>
      <c r="U92" s="2">
        <v>1.21938222440138</v>
      </c>
      <c r="V92" s="1" t="s">
        <v>51</v>
      </c>
      <c r="W92" s="1" t="s">
        <v>36</v>
      </c>
      <c r="X92" s="3">
        <v>990.078472505811</v>
      </c>
      <c r="Y92" s="4">
        <f t="shared" si="1"/>
        <v>916.2062911</v>
      </c>
      <c r="Z92" s="5" t="str">
        <f t="shared" si="2"/>
        <v>Slow</v>
      </c>
      <c r="AA92" s="5" t="str">
        <f t="shared" si="3"/>
        <v>On Time</v>
      </c>
      <c r="AB92" s="5" t="str">
        <f t="shared" si="4"/>
        <v>Low</v>
      </c>
    </row>
    <row r="93">
      <c r="A93" s="1" t="s">
        <v>61</v>
      </c>
      <c r="B93" s="1" t="s">
        <v>149</v>
      </c>
      <c r="C93" s="2">
        <v>62.1119654639617</v>
      </c>
      <c r="D93" s="1">
        <v>90.0</v>
      </c>
      <c r="E93" s="1">
        <v>916.0</v>
      </c>
      <c r="F93" s="2">
        <v>1935.20679350759</v>
      </c>
      <c r="G93" s="1" t="s">
        <v>59</v>
      </c>
      <c r="H93" s="1">
        <v>98.0</v>
      </c>
      <c r="I93" s="1">
        <v>22.0</v>
      </c>
      <c r="J93" s="1">
        <v>85.0</v>
      </c>
      <c r="K93" s="1">
        <v>7.0</v>
      </c>
      <c r="L93" s="1" t="s">
        <v>31</v>
      </c>
      <c r="M93" s="3">
        <v>7.47151408440114</v>
      </c>
      <c r="N93" s="1" t="s">
        <v>56</v>
      </c>
      <c r="O93" s="1" t="s">
        <v>54</v>
      </c>
      <c r="P93" s="1">
        <v>5.0</v>
      </c>
      <c r="Q93" s="1">
        <v>207.0</v>
      </c>
      <c r="R93" s="1">
        <v>28.0</v>
      </c>
      <c r="S93" s="3">
        <v>39.7728825023399</v>
      </c>
      <c r="T93" s="1" t="s">
        <v>34</v>
      </c>
      <c r="U93" s="2">
        <v>0.626001858209394</v>
      </c>
      <c r="V93" s="1" t="s">
        <v>51</v>
      </c>
      <c r="W93" s="1" t="s">
        <v>36</v>
      </c>
      <c r="X93" s="3">
        <v>996.778314950623</v>
      </c>
      <c r="Y93" s="4">
        <f t="shared" si="1"/>
        <v>6086.972615</v>
      </c>
      <c r="Z93" s="5" t="str">
        <f t="shared" si="2"/>
        <v>Slow</v>
      </c>
      <c r="AA93" s="5" t="str">
        <f t="shared" si="3"/>
        <v>On Time</v>
      </c>
      <c r="AB93" s="5" t="str">
        <f t="shared" si="4"/>
        <v>Low</v>
      </c>
    </row>
    <row r="94">
      <c r="A94" s="1" t="s">
        <v>61</v>
      </c>
      <c r="B94" s="1" t="s">
        <v>150</v>
      </c>
      <c r="C94" s="2">
        <v>47.7142330758202</v>
      </c>
      <c r="D94" s="1">
        <v>44.0</v>
      </c>
      <c r="E94" s="1">
        <v>276.0</v>
      </c>
      <c r="F94" s="2">
        <v>2100.12975462593</v>
      </c>
      <c r="G94" s="1" t="s">
        <v>59</v>
      </c>
      <c r="H94" s="1">
        <v>90.0</v>
      </c>
      <c r="I94" s="1">
        <v>25.0</v>
      </c>
      <c r="J94" s="1">
        <v>10.0</v>
      </c>
      <c r="K94" s="1">
        <v>8.0</v>
      </c>
      <c r="L94" s="1" t="s">
        <v>31</v>
      </c>
      <c r="M94" s="3">
        <v>4.4695000261236</v>
      </c>
      <c r="N94" s="1" t="s">
        <v>65</v>
      </c>
      <c r="O94" s="1" t="s">
        <v>33</v>
      </c>
      <c r="P94" s="1">
        <v>4.0</v>
      </c>
      <c r="Q94" s="1">
        <v>671.0</v>
      </c>
      <c r="R94" s="1">
        <v>29.0</v>
      </c>
      <c r="S94" s="3">
        <v>62.6126903956143</v>
      </c>
      <c r="T94" s="1" t="s">
        <v>68</v>
      </c>
      <c r="U94" s="2">
        <v>0.333431825224739</v>
      </c>
      <c r="V94" s="1" t="s">
        <v>51</v>
      </c>
      <c r="W94" s="1" t="s">
        <v>36</v>
      </c>
      <c r="X94" s="3">
        <v>230.092782536762</v>
      </c>
      <c r="Y94" s="4">
        <f t="shared" si="1"/>
        <v>4294.280977</v>
      </c>
      <c r="Z94" s="5" t="str">
        <f t="shared" si="2"/>
        <v>Slow</v>
      </c>
      <c r="AA94" s="5" t="str">
        <f t="shared" si="3"/>
        <v>Delayed</v>
      </c>
      <c r="AB94" s="5" t="str">
        <f t="shared" si="4"/>
        <v>Low</v>
      </c>
    </row>
    <row r="95">
      <c r="A95" s="1" t="s">
        <v>28</v>
      </c>
      <c r="B95" s="1" t="s">
        <v>151</v>
      </c>
      <c r="C95" s="2">
        <v>69.2908310029054</v>
      </c>
      <c r="D95" s="1">
        <v>88.0</v>
      </c>
      <c r="E95" s="1">
        <v>114.0</v>
      </c>
      <c r="F95" s="2">
        <v>4531.4021336919</v>
      </c>
      <c r="G95" s="1" t="s">
        <v>42</v>
      </c>
      <c r="H95" s="1">
        <v>63.0</v>
      </c>
      <c r="I95" s="1">
        <v>17.0</v>
      </c>
      <c r="J95" s="1">
        <v>66.0</v>
      </c>
      <c r="K95" s="1">
        <v>1.0</v>
      </c>
      <c r="L95" s="1" t="s">
        <v>47</v>
      </c>
      <c r="M95" s="3">
        <v>7.00643205900439</v>
      </c>
      <c r="N95" s="1" t="s">
        <v>56</v>
      </c>
      <c r="O95" s="1" t="s">
        <v>66</v>
      </c>
      <c r="P95" s="1">
        <v>21.0</v>
      </c>
      <c r="Q95" s="1">
        <v>824.0</v>
      </c>
      <c r="R95" s="1">
        <v>20.0</v>
      </c>
      <c r="S95" s="3">
        <v>35.6336523433438</v>
      </c>
      <c r="T95" s="1" t="s">
        <v>50</v>
      </c>
      <c r="U95" s="2">
        <v>4.16578179542414</v>
      </c>
      <c r="V95" s="1" t="s">
        <v>44</v>
      </c>
      <c r="W95" s="1" t="s">
        <v>52</v>
      </c>
      <c r="X95" s="3">
        <v>823.523845888155</v>
      </c>
      <c r="Y95" s="4">
        <f t="shared" si="1"/>
        <v>4365.322353</v>
      </c>
      <c r="Z95" s="5" t="str">
        <f t="shared" si="2"/>
        <v>Slow</v>
      </c>
      <c r="AA95" s="5" t="str">
        <f t="shared" si="3"/>
        <v>On Time</v>
      </c>
      <c r="AB95" s="5" t="str">
        <f t="shared" si="4"/>
        <v>Low</v>
      </c>
    </row>
    <row r="96">
      <c r="A96" s="1" t="s">
        <v>61</v>
      </c>
      <c r="B96" s="1" t="s">
        <v>152</v>
      </c>
      <c r="C96" s="2">
        <v>3.03768872463141</v>
      </c>
      <c r="D96" s="1">
        <v>97.0</v>
      </c>
      <c r="E96" s="1">
        <v>987.0</v>
      </c>
      <c r="F96" s="2">
        <v>7888.35654666187</v>
      </c>
      <c r="G96" s="1" t="s">
        <v>42</v>
      </c>
      <c r="H96" s="1">
        <v>77.0</v>
      </c>
      <c r="I96" s="1">
        <v>26.0</v>
      </c>
      <c r="J96" s="1">
        <v>72.0</v>
      </c>
      <c r="K96" s="1">
        <v>9.0</v>
      </c>
      <c r="L96" s="1" t="s">
        <v>31</v>
      </c>
      <c r="M96" s="3">
        <v>6.94294594203258</v>
      </c>
      <c r="N96" s="1" t="s">
        <v>65</v>
      </c>
      <c r="O96" s="1" t="s">
        <v>54</v>
      </c>
      <c r="P96" s="1">
        <v>12.0</v>
      </c>
      <c r="Q96" s="1">
        <v>908.0</v>
      </c>
      <c r="R96" s="1">
        <v>14.0</v>
      </c>
      <c r="S96" s="3">
        <v>60.3873786148621</v>
      </c>
      <c r="T96" s="1" t="s">
        <v>68</v>
      </c>
      <c r="U96" s="2">
        <v>1.46360749847277</v>
      </c>
      <c r="V96" s="1" t="s">
        <v>51</v>
      </c>
      <c r="W96" s="1" t="s">
        <v>36</v>
      </c>
      <c r="X96" s="3">
        <v>846.665256986694</v>
      </c>
      <c r="Y96" s="4">
        <f t="shared" si="1"/>
        <v>233.9020318</v>
      </c>
      <c r="Z96" s="5" t="str">
        <f t="shared" si="2"/>
        <v>Slow</v>
      </c>
      <c r="AA96" s="5" t="str">
        <f t="shared" si="3"/>
        <v>Delayed</v>
      </c>
      <c r="AB96" s="5" t="str">
        <f t="shared" si="4"/>
        <v>Low</v>
      </c>
    </row>
    <row r="97">
      <c r="A97" s="1" t="s">
        <v>28</v>
      </c>
      <c r="B97" s="1" t="s">
        <v>153</v>
      </c>
      <c r="C97" s="2">
        <v>77.9039272194477</v>
      </c>
      <c r="D97" s="1">
        <v>65.0</v>
      </c>
      <c r="E97" s="1">
        <v>672.0</v>
      </c>
      <c r="F97" s="2">
        <v>7386.36394404866</v>
      </c>
      <c r="G97" s="1" t="s">
        <v>42</v>
      </c>
      <c r="H97" s="1">
        <v>15.0</v>
      </c>
      <c r="I97" s="1">
        <v>14.0</v>
      </c>
      <c r="J97" s="1">
        <v>26.0</v>
      </c>
      <c r="K97" s="1">
        <v>9.0</v>
      </c>
      <c r="L97" s="1" t="s">
        <v>31</v>
      </c>
      <c r="M97" s="3">
        <v>8.63033886960275</v>
      </c>
      <c r="N97" s="1" t="s">
        <v>56</v>
      </c>
      <c r="O97" s="1" t="s">
        <v>33</v>
      </c>
      <c r="P97" s="1">
        <v>18.0</v>
      </c>
      <c r="Q97" s="1">
        <v>450.0</v>
      </c>
      <c r="R97" s="1">
        <v>26.0</v>
      </c>
      <c r="S97" s="3">
        <v>58.8906857685899</v>
      </c>
      <c r="T97" s="1" t="s">
        <v>34</v>
      </c>
      <c r="U97" s="2">
        <v>1.21088212958506</v>
      </c>
      <c r="V97" s="1" t="s">
        <v>44</v>
      </c>
      <c r="W97" s="1" t="s">
        <v>52</v>
      </c>
      <c r="X97" s="3">
        <v>778.864241376647</v>
      </c>
      <c r="Y97" s="4">
        <f t="shared" si="1"/>
        <v>1168.558908</v>
      </c>
      <c r="Z97" s="5" t="str">
        <f t="shared" si="2"/>
        <v>Slow</v>
      </c>
      <c r="AA97" s="5" t="str">
        <f t="shared" si="3"/>
        <v>Delayed</v>
      </c>
      <c r="AB97" s="5" t="str">
        <f t="shared" si="4"/>
        <v>Low</v>
      </c>
    </row>
    <row r="98">
      <c r="A98" s="1" t="s">
        <v>61</v>
      </c>
      <c r="B98" s="1" t="s">
        <v>154</v>
      </c>
      <c r="C98" s="2">
        <v>24.4231314203733</v>
      </c>
      <c r="D98" s="1">
        <v>29.0</v>
      </c>
      <c r="E98" s="1">
        <v>324.0</v>
      </c>
      <c r="F98" s="2">
        <v>7698.42476563211</v>
      </c>
      <c r="G98" s="1" t="s">
        <v>30</v>
      </c>
      <c r="H98" s="1">
        <v>67.0</v>
      </c>
      <c r="I98" s="1">
        <v>2.0</v>
      </c>
      <c r="J98" s="1">
        <v>32.0</v>
      </c>
      <c r="K98" s="1">
        <v>3.0</v>
      </c>
      <c r="L98" s="1" t="s">
        <v>47</v>
      </c>
      <c r="M98" s="3">
        <v>5.3528780439968</v>
      </c>
      <c r="N98" s="1" t="s">
        <v>32</v>
      </c>
      <c r="O98" s="1" t="s">
        <v>33</v>
      </c>
      <c r="P98" s="1">
        <v>28.0</v>
      </c>
      <c r="Q98" s="1">
        <v>648.0</v>
      </c>
      <c r="R98" s="1">
        <v>28.0</v>
      </c>
      <c r="S98" s="3">
        <v>17.8037563313912</v>
      </c>
      <c r="T98" s="1" t="s">
        <v>34</v>
      </c>
      <c r="U98" s="2">
        <v>3.87204768148213</v>
      </c>
      <c r="V98" s="1" t="s">
        <v>35</v>
      </c>
      <c r="W98" s="1" t="s">
        <v>52</v>
      </c>
      <c r="X98" s="3">
        <v>188.742141149056</v>
      </c>
      <c r="Y98" s="4">
        <f t="shared" si="1"/>
        <v>1636.349805</v>
      </c>
      <c r="Z98" s="5" t="str">
        <f t="shared" si="2"/>
        <v>Fast</v>
      </c>
      <c r="AA98" s="5" t="str">
        <f t="shared" si="3"/>
        <v>On Time</v>
      </c>
      <c r="AB98" s="5" t="str">
        <f t="shared" si="4"/>
        <v>Low</v>
      </c>
    </row>
    <row r="99">
      <c r="A99" s="1" t="s">
        <v>28</v>
      </c>
      <c r="B99" s="1" t="s">
        <v>155</v>
      </c>
      <c r="C99" s="2">
        <v>3.52611125914341</v>
      </c>
      <c r="D99" s="1">
        <v>56.0</v>
      </c>
      <c r="E99" s="1">
        <v>62.0</v>
      </c>
      <c r="F99" s="2">
        <v>4370.91657998453</v>
      </c>
      <c r="G99" s="1" t="s">
        <v>59</v>
      </c>
      <c r="H99" s="1">
        <v>46.0</v>
      </c>
      <c r="I99" s="1">
        <v>19.0</v>
      </c>
      <c r="J99" s="1">
        <v>4.0</v>
      </c>
      <c r="K99" s="1">
        <v>9.0</v>
      </c>
      <c r="L99" s="1" t="s">
        <v>40</v>
      </c>
      <c r="M99" s="3">
        <v>7.90484561120967</v>
      </c>
      <c r="N99" s="1" t="s">
        <v>56</v>
      </c>
      <c r="O99" s="1" t="s">
        <v>33</v>
      </c>
      <c r="P99" s="1">
        <v>10.0</v>
      </c>
      <c r="Q99" s="1">
        <v>535.0</v>
      </c>
      <c r="R99" s="1">
        <v>13.0</v>
      </c>
      <c r="S99" s="3">
        <v>65.7651559263674</v>
      </c>
      <c r="T99" s="1" t="s">
        <v>50</v>
      </c>
      <c r="U99" s="2">
        <v>3.37623783471798</v>
      </c>
      <c r="V99" s="1" t="s">
        <v>35</v>
      </c>
      <c r="W99" s="1" t="s">
        <v>52</v>
      </c>
      <c r="X99" s="3">
        <v>540.132422867967</v>
      </c>
      <c r="Y99" s="4">
        <f t="shared" si="1"/>
        <v>162.2011179</v>
      </c>
      <c r="Z99" s="5" t="str">
        <f t="shared" si="2"/>
        <v>Slow</v>
      </c>
      <c r="AA99" s="5" t="str">
        <f t="shared" si="3"/>
        <v>Delayed</v>
      </c>
      <c r="AB99" s="5" t="str">
        <f t="shared" si="4"/>
        <v>Low</v>
      </c>
    </row>
    <row r="100">
      <c r="A100" s="1" t="s">
        <v>37</v>
      </c>
      <c r="B100" s="1" t="s">
        <v>156</v>
      </c>
      <c r="C100" s="2">
        <v>19.7546048668786</v>
      </c>
      <c r="D100" s="1">
        <v>43.0</v>
      </c>
      <c r="E100" s="1">
        <v>913.0</v>
      </c>
      <c r="F100" s="2">
        <v>8525.95255968352</v>
      </c>
      <c r="G100" s="1" t="s">
        <v>39</v>
      </c>
      <c r="H100" s="1">
        <v>53.0</v>
      </c>
      <c r="I100" s="1">
        <v>1.0</v>
      </c>
      <c r="J100" s="1">
        <v>27.0</v>
      </c>
      <c r="K100" s="1">
        <v>7.0</v>
      </c>
      <c r="L100" s="1" t="s">
        <v>31</v>
      </c>
      <c r="M100" s="3">
        <v>1.40980109513807</v>
      </c>
      <c r="N100" s="1" t="s">
        <v>48</v>
      </c>
      <c r="O100" s="1" t="s">
        <v>66</v>
      </c>
      <c r="P100" s="1">
        <v>28.0</v>
      </c>
      <c r="Q100" s="1">
        <v>581.0</v>
      </c>
      <c r="R100" s="1">
        <v>9.0</v>
      </c>
      <c r="S100" s="3">
        <v>5.60469086437178</v>
      </c>
      <c r="T100" s="1" t="s">
        <v>34</v>
      </c>
      <c r="U100" s="2">
        <v>2.90812216935126</v>
      </c>
      <c r="V100" s="1" t="s">
        <v>51</v>
      </c>
      <c r="W100" s="1" t="s">
        <v>52</v>
      </c>
      <c r="X100" s="3">
        <v>882.198863547041</v>
      </c>
      <c r="Y100" s="4">
        <f t="shared" si="1"/>
        <v>1046.994058</v>
      </c>
      <c r="Z100" s="5" t="str">
        <f t="shared" si="2"/>
        <v>Fast</v>
      </c>
      <c r="AA100" s="5" t="str">
        <f t="shared" si="3"/>
        <v>On Time</v>
      </c>
      <c r="AB100" s="5" t="str">
        <f t="shared" si="4"/>
        <v>Low</v>
      </c>
    </row>
    <row r="101">
      <c r="A101" s="1" t="s">
        <v>28</v>
      </c>
      <c r="B101" s="1" t="s">
        <v>157</v>
      </c>
      <c r="C101" s="2">
        <v>68.5178326992766</v>
      </c>
      <c r="D101" s="1">
        <v>17.0</v>
      </c>
      <c r="E101" s="1">
        <v>627.0</v>
      </c>
      <c r="F101" s="2">
        <v>9185.1858291817</v>
      </c>
      <c r="G101" s="1" t="s">
        <v>42</v>
      </c>
      <c r="H101" s="1">
        <v>55.0</v>
      </c>
      <c r="I101" s="1">
        <v>8.0</v>
      </c>
      <c r="J101" s="1">
        <v>59.0</v>
      </c>
      <c r="K101" s="1">
        <v>6.0</v>
      </c>
      <c r="L101" s="1" t="s">
        <v>31</v>
      </c>
      <c r="M101" s="3">
        <v>1.31102375612062</v>
      </c>
      <c r="N101" s="1" t="s">
        <v>65</v>
      </c>
      <c r="O101" s="1" t="s">
        <v>66</v>
      </c>
      <c r="P101" s="1">
        <v>29.0</v>
      </c>
      <c r="Q101" s="1">
        <v>921.0</v>
      </c>
      <c r="R101" s="1">
        <v>2.0</v>
      </c>
      <c r="S101" s="3">
        <v>38.072898520626</v>
      </c>
      <c r="T101" s="1" t="s">
        <v>50</v>
      </c>
      <c r="U101" s="2">
        <v>0.346027290705503</v>
      </c>
      <c r="V101" s="1" t="s">
        <v>51</v>
      </c>
      <c r="W101" s="1" t="s">
        <v>36</v>
      </c>
      <c r="X101" s="3">
        <v>210.743008964246</v>
      </c>
      <c r="Y101" s="4">
        <f t="shared" si="1"/>
        <v>3768.480798</v>
      </c>
      <c r="Z101" s="5" t="str">
        <f t="shared" si="2"/>
        <v>Medium</v>
      </c>
      <c r="AA101" s="5" t="str">
        <f t="shared" si="3"/>
        <v>On Time</v>
      </c>
      <c r="AB101" s="5" t="str">
        <f t="shared" si="4"/>
        <v>Low</v>
      </c>
    </row>
    <row r="102">
      <c r="C102" s="6"/>
      <c r="F102" s="6"/>
      <c r="M102" s="4"/>
      <c r="S102" s="4"/>
      <c r="U102" s="6"/>
      <c r="X102" s="4"/>
      <c r="Y102" s="4"/>
    </row>
    <row r="103">
      <c r="C103" s="6"/>
      <c r="F103" s="6"/>
      <c r="M103" s="4"/>
      <c r="S103" s="4"/>
      <c r="U103" s="6"/>
      <c r="X103" s="4"/>
      <c r="Y103" s="4"/>
    </row>
    <row r="104">
      <c r="C104" s="6"/>
      <c r="F104" s="6"/>
      <c r="M104" s="4"/>
      <c r="S104" s="4"/>
      <c r="U104" s="6"/>
      <c r="X104" s="4"/>
      <c r="Y104" s="4"/>
    </row>
    <row r="105">
      <c r="C105" s="6"/>
      <c r="F105" s="6"/>
      <c r="M105" s="4"/>
      <c r="S105" s="4"/>
      <c r="U105" s="6"/>
      <c r="X105" s="4"/>
      <c r="Y105" s="4"/>
    </row>
    <row r="106">
      <c r="C106" s="6"/>
      <c r="F106" s="6"/>
      <c r="M106" s="4"/>
      <c r="S106" s="4"/>
      <c r="U106" s="6"/>
      <c r="X106" s="4"/>
      <c r="Y106" s="4"/>
    </row>
    <row r="107">
      <c r="C107" s="6"/>
      <c r="F107" s="6"/>
      <c r="M107" s="4"/>
      <c r="S107" s="4"/>
      <c r="U107" s="6"/>
      <c r="X107" s="4"/>
      <c r="Y107" s="4"/>
    </row>
    <row r="108">
      <c r="C108" s="6"/>
      <c r="F108" s="6"/>
      <c r="M108" s="4"/>
      <c r="S108" s="4"/>
      <c r="U108" s="6"/>
      <c r="X108" s="4"/>
      <c r="Y108" s="4"/>
    </row>
    <row r="109">
      <c r="C109" s="6"/>
      <c r="F109" s="6"/>
      <c r="M109" s="4"/>
      <c r="S109" s="4"/>
      <c r="U109" s="6"/>
      <c r="X109" s="4"/>
      <c r="Y109" s="4"/>
    </row>
    <row r="110">
      <c r="C110" s="6"/>
      <c r="F110" s="6"/>
      <c r="M110" s="4"/>
      <c r="S110" s="4"/>
      <c r="U110" s="6"/>
      <c r="X110" s="4"/>
      <c r="Y110" s="4"/>
    </row>
    <row r="111">
      <c r="C111" s="6"/>
      <c r="F111" s="6"/>
      <c r="M111" s="4"/>
      <c r="S111" s="4"/>
      <c r="U111" s="6"/>
      <c r="X111" s="4"/>
      <c r="Y111" s="4"/>
    </row>
    <row r="112">
      <c r="C112" s="6"/>
      <c r="F112" s="6"/>
      <c r="M112" s="4"/>
      <c r="S112" s="4"/>
      <c r="U112" s="6"/>
      <c r="X112" s="4"/>
      <c r="Y112" s="4"/>
    </row>
    <row r="113">
      <c r="C113" s="6"/>
      <c r="F113" s="6"/>
      <c r="M113" s="4"/>
      <c r="S113" s="4"/>
      <c r="U113" s="6"/>
      <c r="X113" s="4"/>
      <c r="Y113" s="4"/>
    </row>
    <row r="114">
      <c r="C114" s="6"/>
      <c r="F114" s="6"/>
      <c r="M114" s="4"/>
      <c r="S114" s="4"/>
      <c r="U114" s="6"/>
      <c r="X114" s="4"/>
      <c r="Y114" s="4"/>
    </row>
    <row r="115">
      <c r="C115" s="6"/>
      <c r="F115" s="6"/>
      <c r="M115" s="4"/>
      <c r="S115" s="4"/>
      <c r="U115" s="6"/>
      <c r="X115" s="4"/>
      <c r="Y115" s="4"/>
    </row>
    <row r="116">
      <c r="C116" s="6"/>
      <c r="F116" s="6"/>
      <c r="M116" s="4"/>
      <c r="S116" s="4"/>
      <c r="U116" s="6"/>
      <c r="X116" s="4"/>
      <c r="Y116" s="4"/>
    </row>
    <row r="117">
      <c r="C117" s="6"/>
      <c r="F117" s="6"/>
      <c r="M117" s="4"/>
      <c r="S117" s="4"/>
      <c r="U117" s="6"/>
      <c r="X117" s="4"/>
      <c r="Y117" s="4"/>
    </row>
    <row r="118">
      <c r="C118" s="6"/>
      <c r="F118" s="6"/>
      <c r="M118" s="4"/>
      <c r="S118" s="4"/>
      <c r="U118" s="6"/>
      <c r="X118" s="4"/>
      <c r="Y118" s="4"/>
    </row>
    <row r="119">
      <c r="C119" s="6"/>
      <c r="F119" s="6"/>
      <c r="M119" s="4"/>
      <c r="S119" s="4"/>
      <c r="U119" s="6"/>
      <c r="X119" s="4"/>
      <c r="Y119" s="4"/>
    </row>
    <row r="120">
      <c r="C120" s="6"/>
      <c r="F120" s="6"/>
      <c r="M120" s="4"/>
      <c r="S120" s="4"/>
      <c r="U120" s="6"/>
      <c r="X120" s="4"/>
      <c r="Y120" s="4"/>
    </row>
    <row r="121">
      <c r="C121" s="6"/>
      <c r="F121" s="6"/>
      <c r="M121" s="4"/>
      <c r="S121" s="4"/>
      <c r="U121" s="6"/>
      <c r="X121" s="4"/>
      <c r="Y121" s="4"/>
    </row>
    <row r="122">
      <c r="C122" s="6"/>
      <c r="F122" s="6"/>
      <c r="M122" s="4"/>
      <c r="S122" s="4"/>
      <c r="U122" s="6"/>
      <c r="X122" s="4"/>
      <c r="Y122" s="4"/>
    </row>
    <row r="123">
      <c r="C123" s="6"/>
      <c r="F123" s="6"/>
      <c r="M123" s="4"/>
      <c r="S123" s="4"/>
      <c r="U123" s="6"/>
      <c r="X123" s="4"/>
      <c r="Y123" s="4"/>
    </row>
    <row r="124">
      <c r="C124" s="6"/>
      <c r="F124" s="6"/>
      <c r="M124" s="4"/>
      <c r="S124" s="4"/>
      <c r="U124" s="6"/>
      <c r="X124" s="4"/>
      <c r="Y124" s="4"/>
    </row>
    <row r="125">
      <c r="C125" s="6"/>
      <c r="F125" s="6"/>
      <c r="M125" s="4"/>
      <c r="S125" s="4"/>
      <c r="U125" s="6"/>
      <c r="X125" s="4"/>
      <c r="Y125" s="4"/>
    </row>
    <row r="126">
      <c r="C126" s="6"/>
      <c r="F126" s="6"/>
      <c r="M126" s="4"/>
      <c r="S126" s="4"/>
      <c r="U126" s="6"/>
      <c r="X126" s="4"/>
      <c r="Y126" s="4"/>
    </row>
    <row r="127">
      <c r="C127" s="6"/>
      <c r="F127" s="6"/>
      <c r="M127" s="4"/>
      <c r="S127" s="4"/>
      <c r="U127" s="6"/>
      <c r="X127" s="4"/>
      <c r="Y127" s="4"/>
    </row>
    <row r="128">
      <c r="C128" s="6"/>
      <c r="F128" s="6"/>
      <c r="M128" s="4"/>
      <c r="S128" s="4"/>
      <c r="U128" s="6"/>
      <c r="X128" s="4"/>
      <c r="Y128" s="4"/>
    </row>
    <row r="129">
      <c r="C129" s="6"/>
      <c r="F129" s="6"/>
      <c r="M129" s="4"/>
      <c r="S129" s="4"/>
      <c r="U129" s="6"/>
      <c r="X129" s="4"/>
      <c r="Y129" s="4"/>
    </row>
    <row r="130">
      <c r="C130" s="6"/>
      <c r="F130" s="6"/>
      <c r="M130" s="4"/>
      <c r="S130" s="4"/>
      <c r="U130" s="6"/>
      <c r="X130" s="4"/>
      <c r="Y130" s="4"/>
    </row>
    <row r="131">
      <c r="C131" s="6"/>
      <c r="F131" s="6"/>
      <c r="M131" s="4"/>
      <c r="S131" s="4"/>
      <c r="U131" s="6"/>
      <c r="X131" s="4"/>
      <c r="Y131" s="4"/>
    </row>
    <row r="132">
      <c r="C132" s="6"/>
      <c r="F132" s="6"/>
      <c r="M132" s="4"/>
      <c r="S132" s="4"/>
      <c r="U132" s="6"/>
      <c r="X132" s="4"/>
      <c r="Y132" s="4"/>
    </row>
    <row r="133">
      <c r="C133" s="6"/>
      <c r="F133" s="6"/>
      <c r="M133" s="4"/>
      <c r="S133" s="4"/>
      <c r="U133" s="6"/>
      <c r="X133" s="4"/>
      <c r="Y133" s="4"/>
    </row>
    <row r="134">
      <c r="C134" s="6"/>
      <c r="F134" s="6"/>
      <c r="M134" s="4"/>
      <c r="S134" s="4"/>
      <c r="U134" s="6"/>
      <c r="X134" s="4"/>
      <c r="Y134" s="4"/>
    </row>
    <row r="135">
      <c r="C135" s="6"/>
      <c r="F135" s="6"/>
      <c r="M135" s="4"/>
      <c r="S135" s="4"/>
      <c r="U135" s="6"/>
      <c r="X135" s="4"/>
      <c r="Y135" s="4"/>
    </row>
    <row r="136">
      <c r="C136" s="6"/>
      <c r="F136" s="6"/>
      <c r="M136" s="4"/>
      <c r="S136" s="4"/>
      <c r="U136" s="6"/>
      <c r="X136" s="4"/>
      <c r="Y136" s="4"/>
    </row>
    <row r="137">
      <c r="C137" s="6"/>
      <c r="F137" s="6"/>
      <c r="M137" s="4"/>
      <c r="S137" s="4"/>
      <c r="U137" s="6"/>
      <c r="X137" s="4"/>
      <c r="Y137" s="4"/>
    </row>
    <row r="138">
      <c r="C138" s="6"/>
      <c r="F138" s="6"/>
      <c r="M138" s="4"/>
      <c r="S138" s="4"/>
      <c r="U138" s="6"/>
      <c r="X138" s="4"/>
      <c r="Y138" s="4"/>
    </row>
    <row r="139">
      <c r="C139" s="6"/>
      <c r="F139" s="6"/>
      <c r="M139" s="4"/>
      <c r="S139" s="4"/>
      <c r="U139" s="6"/>
      <c r="X139" s="4"/>
      <c r="Y139" s="4"/>
    </row>
    <row r="140">
      <c r="C140" s="6"/>
      <c r="F140" s="6"/>
      <c r="M140" s="4"/>
      <c r="S140" s="4"/>
      <c r="U140" s="6"/>
      <c r="X140" s="4"/>
      <c r="Y140" s="4"/>
    </row>
    <row r="141">
      <c r="C141" s="6"/>
      <c r="F141" s="6"/>
      <c r="M141" s="4"/>
      <c r="S141" s="4"/>
      <c r="U141" s="6"/>
      <c r="X141" s="4"/>
      <c r="Y141" s="4"/>
    </row>
    <row r="142">
      <c r="C142" s="6"/>
      <c r="F142" s="6"/>
      <c r="M142" s="4"/>
      <c r="S142" s="4"/>
      <c r="U142" s="6"/>
      <c r="X142" s="4"/>
      <c r="Y142" s="4"/>
    </row>
    <row r="143">
      <c r="C143" s="6"/>
      <c r="F143" s="6"/>
      <c r="M143" s="4"/>
      <c r="S143" s="4"/>
      <c r="U143" s="6"/>
      <c r="X143" s="4"/>
      <c r="Y143" s="4"/>
    </row>
    <row r="144">
      <c r="C144" s="6"/>
      <c r="F144" s="6"/>
      <c r="M144" s="4"/>
      <c r="S144" s="4"/>
      <c r="U144" s="6"/>
      <c r="X144" s="4"/>
      <c r="Y144" s="4"/>
    </row>
    <row r="145">
      <c r="C145" s="6"/>
      <c r="F145" s="6"/>
      <c r="M145" s="4"/>
      <c r="S145" s="4"/>
      <c r="U145" s="6"/>
      <c r="X145" s="4"/>
      <c r="Y145" s="4"/>
    </row>
    <row r="146">
      <c r="C146" s="6"/>
      <c r="F146" s="6"/>
      <c r="M146" s="4"/>
      <c r="S146" s="4"/>
      <c r="U146" s="6"/>
      <c r="X146" s="4"/>
      <c r="Y146" s="4"/>
    </row>
    <row r="147">
      <c r="C147" s="6"/>
      <c r="F147" s="6"/>
      <c r="M147" s="4"/>
      <c r="S147" s="4"/>
      <c r="U147" s="6"/>
      <c r="X147" s="4"/>
      <c r="Y147" s="4"/>
    </row>
    <row r="148">
      <c r="C148" s="6"/>
      <c r="F148" s="6"/>
      <c r="M148" s="4"/>
      <c r="S148" s="4"/>
      <c r="U148" s="6"/>
      <c r="X148" s="4"/>
      <c r="Y148" s="4"/>
    </row>
    <row r="149">
      <c r="C149" s="6"/>
      <c r="F149" s="6"/>
      <c r="M149" s="4"/>
      <c r="S149" s="4"/>
      <c r="U149" s="6"/>
      <c r="X149" s="4"/>
      <c r="Y149" s="4"/>
    </row>
    <row r="150">
      <c r="C150" s="6"/>
      <c r="F150" s="6"/>
      <c r="M150" s="4"/>
      <c r="S150" s="4"/>
      <c r="U150" s="6"/>
      <c r="X150" s="4"/>
      <c r="Y150" s="4"/>
    </row>
    <row r="151">
      <c r="C151" s="6"/>
      <c r="F151" s="6"/>
      <c r="M151" s="4"/>
      <c r="S151" s="4"/>
      <c r="U151" s="6"/>
      <c r="X151" s="4"/>
      <c r="Y151" s="4"/>
    </row>
    <row r="152">
      <c r="C152" s="6"/>
      <c r="F152" s="6"/>
      <c r="M152" s="4"/>
      <c r="S152" s="4"/>
      <c r="U152" s="6"/>
      <c r="X152" s="4"/>
      <c r="Y152" s="4"/>
    </row>
    <row r="153">
      <c r="C153" s="6"/>
      <c r="F153" s="6"/>
      <c r="M153" s="4"/>
      <c r="S153" s="4"/>
      <c r="U153" s="6"/>
      <c r="X153" s="4"/>
      <c r="Y153" s="4"/>
    </row>
    <row r="154">
      <c r="C154" s="6"/>
      <c r="F154" s="6"/>
      <c r="M154" s="4"/>
      <c r="S154" s="4"/>
      <c r="U154" s="6"/>
      <c r="X154" s="4"/>
      <c r="Y154" s="4"/>
    </row>
    <row r="155">
      <c r="C155" s="6"/>
      <c r="F155" s="6"/>
      <c r="M155" s="4"/>
      <c r="S155" s="4"/>
      <c r="U155" s="6"/>
      <c r="X155" s="4"/>
      <c r="Y155" s="4"/>
    </row>
    <row r="156">
      <c r="C156" s="6"/>
      <c r="F156" s="6"/>
      <c r="M156" s="4"/>
      <c r="S156" s="4"/>
      <c r="U156" s="6"/>
      <c r="X156" s="4"/>
      <c r="Y156" s="4"/>
    </row>
    <row r="157">
      <c r="C157" s="6"/>
      <c r="F157" s="6"/>
      <c r="M157" s="4"/>
      <c r="S157" s="4"/>
      <c r="U157" s="6"/>
      <c r="X157" s="4"/>
      <c r="Y157" s="4"/>
    </row>
    <row r="158">
      <c r="C158" s="6"/>
      <c r="F158" s="6"/>
      <c r="M158" s="4"/>
      <c r="S158" s="4"/>
      <c r="U158" s="6"/>
      <c r="X158" s="4"/>
      <c r="Y158" s="4"/>
    </row>
    <row r="159">
      <c r="C159" s="6"/>
      <c r="F159" s="6"/>
      <c r="M159" s="4"/>
      <c r="S159" s="4"/>
      <c r="U159" s="6"/>
      <c r="X159" s="4"/>
      <c r="Y159" s="4"/>
    </row>
    <row r="160">
      <c r="C160" s="6"/>
      <c r="F160" s="6"/>
      <c r="M160" s="4"/>
      <c r="S160" s="4"/>
      <c r="U160" s="6"/>
      <c r="X160" s="4"/>
      <c r="Y160" s="4"/>
    </row>
    <row r="161">
      <c r="C161" s="6"/>
      <c r="F161" s="6"/>
      <c r="M161" s="4"/>
      <c r="S161" s="4"/>
      <c r="U161" s="6"/>
      <c r="X161" s="4"/>
      <c r="Y161" s="4"/>
    </row>
    <row r="162">
      <c r="C162" s="6"/>
      <c r="F162" s="6"/>
      <c r="M162" s="4"/>
      <c r="S162" s="4"/>
      <c r="U162" s="6"/>
      <c r="X162" s="4"/>
      <c r="Y162" s="4"/>
    </row>
    <row r="163">
      <c r="C163" s="6"/>
      <c r="F163" s="6"/>
      <c r="M163" s="4"/>
      <c r="S163" s="4"/>
      <c r="U163" s="6"/>
      <c r="X163" s="4"/>
      <c r="Y163" s="4"/>
    </row>
    <row r="164">
      <c r="C164" s="6"/>
      <c r="F164" s="6"/>
      <c r="M164" s="4"/>
      <c r="S164" s="4"/>
      <c r="U164" s="6"/>
      <c r="X164" s="4"/>
      <c r="Y164" s="4"/>
    </row>
    <row r="165">
      <c r="C165" s="6"/>
      <c r="F165" s="6"/>
      <c r="M165" s="4"/>
      <c r="S165" s="4"/>
      <c r="U165" s="6"/>
      <c r="X165" s="4"/>
      <c r="Y165" s="4"/>
    </row>
    <row r="166">
      <c r="C166" s="6"/>
      <c r="F166" s="6"/>
      <c r="M166" s="4"/>
      <c r="S166" s="4"/>
      <c r="U166" s="6"/>
      <c r="X166" s="4"/>
      <c r="Y166" s="4"/>
    </row>
    <row r="167">
      <c r="C167" s="6"/>
      <c r="F167" s="6"/>
      <c r="M167" s="4"/>
      <c r="S167" s="4"/>
      <c r="U167" s="6"/>
      <c r="X167" s="4"/>
      <c r="Y167" s="4"/>
    </row>
    <row r="168">
      <c r="C168" s="6"/>
      <c r="F168" s="6"/>
      <c r="M168" s="4"/>
      <c r="S168" s="4"/>
      <c r="U168" s="6"/>
      <c r="X168" s="4"/>
      <c r="Y168" s="4"/>
    </row>
    <row r="169">
      <c r="C169" s="6"/>
      <c r="F169" s="6"/>
      <c r="M169" s="4"/>
      <c r="S169" s="4"/>
      <c r="U169" s="6"/>
      <c r="X169" s="4"/>
      <c r="Y169" s="4"/>
    </row>
    <row r="170">
      <c r="C170" s="6"/>
      <c r="F170" s="6"/>
      <c r="M170" s="4"/>
      <c r="S170" s="4"/>
      <c r="U170" s="6"/>
      <c r="X170" s="4"/>
      <c r="Y170" s="4"/>
    </row>
    <row r="171">
      <c r="C171" s="6"/>
      <c r="F171" s="6"/>
      <c r="M171" s="4"/>
      <c r="S171" s="4"/>
      <c r="U171" s="6"/>
      <c r="X171" s="4"/>
      <c r="Y171" s="4"/>
    </row>
    <row r="172">
      <c r="C172" s="6"/>
      <c r="F172" s="6"/>
      <c r="M172" s="4"/>
      <c r="S172" s="4"/>
      <c r="U172" s="6"/>
      <c r="X172" s="4"/>
      <c r="Y172" s="4"/>
    </row>
    <row r="173">
      <c r="C173" s="6"/>
      <c r="F173" s="6"/>
      <c r="M173" s="4"/>
      <c r="S173" s="4"/>
      <c r="U173" s="6"/>
      <c r="X173" s="4"/>
      <c r="Y173" s="4"/>
    </row>
    <row r="174">
      <c r="C174" s="6"/>
      <c r="F174" s="6"/>
      <c r="M174" s="4"/>
      <c r="S174" s="4"/>
      <c r="U174" s="6"/>
      <c r="X174" s="4"/>
      <c r="Y174" s="4"/>
    </row>
    <row r="175">
      <c r="C175" s="6"/>
      <c r="F175" s="6"/>
      <c r="M175" s="4"/>
      <c r="S175" s="4"/>
      <c r="U175" s="6"/>
      <c r="X175" s="4"/>
      <c r="Y175" s="4"/>
    </row>
    <row r="176">
      <c r="C176" s="6"/>
      <c r="F176" s="6"/>
      <c r="M176" s="4"/>
      <c r="S176" s="4"/>
      <c r="U176" s="6"/>
      <c r="X176" s="4"/>
      <c r="Y176" s="4"/>
    </row>
    <row r="177">
      <c r="C177" s="6"/>
      <c r="F177" s="6"/>
      <c r="M177" s="4"/>
      <c r="S177" s="4"/>
      <c r="U177" s="6"/>
      <c r="X177" s="4"/>
      <c r="Y177" s="4"/>
    </row>
    <row r="178">
      <c r="C178" s="6"/>
      <c r="F178" s="6"/>
      <c r="M178" s="4"/>
      <c r="S178" s="4"/>
      <c r="U178" s="6"/>
      <c r="X178" s="4"/>
      <c r="Y178" s="4"/>
    </row>
    <row r="179">
      <c r="C179" s="6"/>
      <c r="F179" s="6"/>
      <c r="M179" s="4"/>
      <c r="S179" s="4"/>
      <c r="U179" s="6"/>
      <c r="X179" s="4"/>
      <c r="Y179" s="4"/>
    </row>
    <row r="180">
      <c r="C180" s="6"/>
      <c r="F180" s="6"/>
      <c r="M180" s="4"/>
      <c r="S180" s="4"/>
      <c r="U180" s="6"/>
      <c r="X180" s="4"/>
      <c r="Y180" s="4"/>
    </row>
    <row r="181">
      <c r="C181" s="6"/>
      <c r="F181" s="6"/>
      <c r="M181" s="4"/>
      <c r="S181" s="4"/>
      <c r="U181" s="6"/>
      <c r="X181" s="4"/>
      <c r="Y181" s="4"/>
    </row>
    <row r="182">
      <c r="C182" s="6"/>
      <c r="F182" s="6"/>
      <c r="M182" s="4"/>
      <c r="S182" s="4"/>
      <c r="U182" s="6"/>
      <c r="X182" s="4"/>
      <c r="Y182" s="4"/>
    </row>
    <row r="183">
      <c r="C183" s="6"/>
      <c r="F183" s="6"/>
      <c r="M183" s="4"/>
      <c r="S183" s="4"/>
      <c r="U183" s="6"/>
      <c r="X183" s="4"/>
      <c r="Y183" s="4"/>
    </row>
    <row r="184">
      <c r="C184" s="6"/>
      <c r="F184" s="6"/>
      <c r="M184" s="4"/>
      <c r="S184" s="4"/>
      <c r="U184" s="6"/>
      <c r="X184" s="4"/>
      <c r="Y184" s="4"/>
    </row>
    <row r="185">
      <c r="C185" s="6"/>
      <c r="F185" s="6"/>
      <c r="M185" s="4"/>
      <c r="S185" s="4"/>
      <c r="U185" s="6"/>
      <c r="X185" s="4"/>
      <c r="Y185" s="4"/>
    </row>
    <row r="186">
      <c r="C186" s="6"/>
      <c r="F186" s="6"/>
      <c r="M186" s="4"/>
      <c r="S186" s="4"/>
      <c r="U186" s="6"/>
      <c r="X186" s="4"/>
      <c r="Y186" s="4"/>
    </row>
    <row r="187">
      <c r="C187" s="6"/>
      <c r="F187" s="6"/>
      <c r="M187" s="4"/>
      <c r="S187" s="4"/>
      <c r="U187" s="6"/>
      <c r="X187" s="4"/>
      <c r="Y187" s="4"/>
    </row>
    <row r="188">
      <c r="C188" s="6"/>
      <c r="F188" s="6"/>
      <c r="M188" s="4"/>
      <c r="S188" s="4"/>
      <c r="U188" s="6"/>
      <c r="X188" s="4"/>
      <c r="Y188" s="4"/>
    </row>
    <row r="189">
      <c r="C189" s="6"/>
      <c r="F189" s="6"/>
      <c r="M189" s="4"/>
      <c r="S189" s="4"/>
      <c r="U189" s="6"/>
      <c r="X189" s="4"/>
      <c r="Y189" s="4"/>
    </row>
    <row r="190">
      <c r="C190" s="6"/>
      <c r="F190" s="6"/>
      <c r="M190" s="4"/>
      <c r="S190" s="4"/>
      <c r="U190" s="6"/>
      <c r="X190" s="4"/>
      <c r="Y190" s="4"/>
    </row>
    <row r="191">
      <c r="C191" s="6"/>
      <c r="F191" s="6"/>
      <c r="M191" s="4"/>
      <c r="S191" s="4"/>
      <c r="U191" s="6"/>
      <c r="X191" s="4"/>
      <c r="Y191" s="4"/>
    </row>
    <row r="192">
      <c r="C192" s="6"/>
      <c r="F192" s="6"/>
      <c r="M192" s="4"/>
      <c r="S192" s="4"/>
      <c r="U192" s="6"/>
      <c r="X192" s="4"/>
      <c r="Y192" s="4"/>
    </row>
    <row r="193">
      <c r="C193" s="6"/>
      <c r="F193" s="6"/>
      <c r="M193" s="4"/>
      <c r="S193" s="4"/>
      <c r="U193" s="6"/>
      <c r="X193" s="4"/>
      <c r="Y193" s="4"/>
    </row>
    <row r="194">
      <c r="C194" s="6"/>
      <c r="F194" s="6"/>
      <c r="M194" s="4"/>
      <c r="S194" s="4"/>
      <c r="U194" s="6"/>
      <c r="X194" s="4"/>
      <c r="Y194" s="4"/>
    </row>
    <row r="195">
      <c r="C195" s="6"/>
      <c r="F195" s="6"/>
      <c r="M195" s="4"/>
      <c r="S195" s="4"/>
      <c r="U195" s="6"/>
      <c r="X195" s="4"/>
      <c r="Y195" s="4"/>
    </row>
    <row r="196">
      <c r="C196" s="6"/>
      <c r="F196" s="6"/>
      <c r="M196" s="4"/>
      <c r="S196" s="4"/>
      <c r="U196" s="6"/>
      <c r="X196" s="4"/>
      <c r="Y196" s="4"/>
    </row>
    <row r="197">
      <c r="C197" s="6"/>
      <c r="F197" s="6"/>
      <c r="M197" s="4"/>
      <c r="S197" s="4"/>
      <c r="U197" s="6"/>
      <c r="X197" s="4"/>
      <c r="Y197" s="4"/>
    </row>
    <row r="198">
      <c r="C198" s="6"/>
      <c r="F198" s="6"/>
      <c r="M198" s="4"/>
      <c r="S198" s="4"/>
      <c r="U198" s="6"/>
      <c r="X198" s="4"/>
      <c r="Y198" s="4"/>
    </row>
    <row r="199">
      <c r="C199" s="6"/>
      <c r="F199" s="6"/>
      <c r="M199" s="4"/>
      <c r="S199" s="4"/>
      <c r="U199" s="6"/>
      <c r="X199" s="4"/>
      <c r="Y199" s="4"/>
    </row>
    <row r="200">
      <c r="C200" s="6"/>
      <c r="F200" s="6"/>
      <c r="M200" s="4"/>
      <c r="S200" s="4"/>
      <c r="U200" s="6"/>
      <c r="X200" s="4"/>
      <c r="Y200" s="4"/>
    </row>
    <row r="201">
      <c r="C201" s="6"/>
      <c r="F201" s="6"/>
      <c r="M201" s="4"/>
      <c r="S201" s="4"/>
      <c r="U201" s="6"/>
      <c r="X201" s="4"/>
      <c r="Y201" s="4"/>
    </row>
    <row r="202">
      <c r="C202" s="6"/>
      <c r="F202" s="6"/>
      <c r="M202" s="4"/>
      <c r="S202" s="4"/>
      <c r="U202" s="6"/>
      <c r="X202" s="4"/>
      <c r="Y202" s="4"/>
    </row>
    <row r="203">
      <c r="C203" s="6"/>
      <c r="F203" s="6"/>
      <c r="M203" s="4"/>
      <c r="S203" s="4"/>
      <c r="U203" s="6"/>
      <c r="X203" s="4"/>
      <c r="Y203" s="4"/>
    </row>
    <row r="204">
      <c r="C204" s="6"/>
      <c r="F204" s="6"/>
      <c r="M204" s="4"/>
      <c r="S204" s="4"/>
      <c r="U204" s="6"/>
      <c r="X204" s="4"/>
      <c r="Y204" s="4"/>
    </row>
    <row r="205">
      <c r="C205" s="6"/>
      <c r="F205" s="6"/>
      <c r="M205" s="4"/>
      <c r="S205" s="4"/>
      <c r="U205" s="6"/>
      <c r="X205" s="4"/>
      <c r="Y205" s="4"/>
    </row>
    <row r="206">
      <c r="C206" s="6"/>
      <c r="F206" s="6"/>
      <c r="M206" s="4"/>
      <c r="S206" s="4"/>
      <c r="U206" s="6"/>
      <c r="X206" s="4"/>
      <c r="Y206" s="4"/>
    </row>
    <row r="207">
      <c r="C207" s="6"/>
      <c r="F207" s="6"/>
      <c r="M207" s="4"/>
      <c r="S207" s="4"/>
      <c r="U207" s="6"/>
      <c r="X207" s="4"/>
      <c r="Y207" s="4"/>
    </row>
    <row r="208">
      <c r="C208" s="6"/>
      <c r="F208" s="6"/>
      <c r="M208" s="4"/>
      <c r="S208" s="4"/>
      <c r="U208" s="6"/>
      <c r="X208" s="4"/>
      <c r="Y208" s="4"/>
    </row>
    <row r="209">
      <c r="C209" s="6"/>
      <c r="F209" s="6"/>
      <c r="M209" s="4"/>
      <c r="S209" s="4"/>
      <c r="U209" s="6"/>
      <c r="X209" s="4"/>
      <c r="Y209" s="4"/>
    </row>
    <row r="210">
      <c r="C210" s="6"/>
      <c r="F210" s="6"/>
      <c r="M210" s="4"/>
      <c r="S210" s="4"/>
      <c r="U210" s="6"/>
      <c r="X210" s="4"/>
      <c r="Y210" s="4"/>
    </row>
    <row r="211">
      <c r="C211" s="6"/>
      <c r="F211" s="6"/>
      <c r="M211" s="4"/>
      <c r="S211" s="4"/>
      <c r="U211" s="6"/>
      <c r="X211" s="4"/>
      <c r="Y211" s="4"/>
    </row>
    <row r="212">
      <c r="C212" s="6"/>
      <c r="F212" s="6"/>
      <c r="M212" s="4"/>
      <c r="S212" s="4"/>
      <c r="U212" s="6"/>
      <c r="X212" s="4"/>
      <c r="Y212" s="4"/>
    </row>
    <row r="213">
      <c r="C213" s="6"/>
      <c r="F213" s="6"/>
      <c r="M213" s="4"/>
      <c r="S213" s="4"/>
      <c r="U213" s="6"/>
      <c r="X213" s="4"/>
      <c r="Y213" s="4"/>
    </row>
    <row r="214">
      <c r="C214" s="6"/>
      <c r="F214" s="6"/>
      <c r="M214" s="4"/>
      <c r="S214" s="4"/>
      <c r="U214" s="6"/>
      <c r="X214" s="4"/>
      <c r="Y214" s="4"/>
    </row>
    <row r="215">
      <c r="C215" s="6"/>
      <c r="F215" s="6"/>
      <c r="M215" s="4"/>
      <c r="S215" s="4"/>
      <c r="U215" s="6"/>
      <c r="X215" s="4"/>
      <c r="Y215" s="4"/>
    </row>
    <row r="216">
      <c r="C216" s="6"/>
      <c r="F216" s="6"/>
      <c r="M216" s="4"/>
      <c r="S216" s="4"/>
      <c r="U216" s="6"/>
      <c r="X216" s="4"/>
      <c r="Y216" s="4"/>
    </row>
    <row r="217">
      <c r="C217" s="6"/>
      <c r="F217" s="6"/>
      <c r="M217" s="4"/>
      <c r="S217" s="4"/>
      <c r="U217" s="6"/>
      <c r="X217" s="4"/>
      <c r="Y217" s="4"/>
    </row>
    <row r="218">
      <c r="C218" s="6"/>
      <c r="F218" s="6"/>
      <c r="M218" s="4"/>
      <c r="S218" s="4"/>
      <c r="U218" s="6"/>
      <c r="X218" s="4"/>
      <c r="Y218" s="4"/>
    </row>
    <row r="219">
      <c r="C219" s="6"/>
      <c r="F219" s="6"/>
      <c r="M219" s="4"/>
      <c r="S219" s="4"/>
      <c r="U219" s="6"/>
      <c r="X219" s="4"/>
      <c r="Y219" s="4"/>
    </row>
    <row r="220">
      <c r="C220" s="6"/>
      <c r="F220" s="6"/>
      <c r="M220" s="4"/>
      <c r="S220" s="4"/>
      <c r="U220" s="6"/>
      <c r="X220" s="4"/>
      <c r="Y220" s="4"/>
    </row>
    <row r="221">
      <c r="C221" s="6"/>
      <c r="F221" s="6"/>
      <c r="M221" s="4"/>
      <c r="S221" s="4"/>
      <c r="U221" s="6"/>
      <c r="X221" s="4"/>
      <c r="Y221" s="4"/>
    </row>
    <row r="222">
      <c r="C222" s="6"/>
      <c r="F222" s="6"/>
      <c r="M222" s="4"/>
      <c r="S222" s="4"/>
      <c r="U222" s="6"/>
      <c r="X222" s="4"/>
      <c r="Y222" s="4"/>
    </row>
    <row r="223">
      <c r="C223" s="6"/>
      <c r="F223" s="6"/>
      <c r="M223" s="4"/>
      <c r="S223" s="4"/>
      <c r="U223" s="6"/>
      <c r="X223" s="4"/>
      <c r="Y223" s="4"/>
    </row>
    <row r="224">
      <c r="C224" s="6"/>
      <c r="F224" s="6"/>
      <c r="M224" s="4"/>
      <c r="S224" s="4"/>
      <c r="U224" s="6"/>
      <c r="X224" s="4"/>
      <c r="Y224" s="4"/>
    </row>
    <row r="225">
      <c r="C225" s="6"/>
      <c r="F225" s="6"/>
      <c r="M225" s="4"/>
      <c r="S225" s="4"/>
      <c r="U225" s="6"/>
      <c r="X225" s="4"/>
      <c r="Y225" s="4"/>
    </row>
    <row r="226">
      <c r="C226" s="6"/>
      <c r="F226" s="6"/>
      <c r="M226" s="4"/>
      <c r="S226" s="4"/>
      <c r="U226" s="6"/>
      <c r="X226" s="4"/>
      <c r="Y226" s="4"/>
    </row>
    <row r="227">
      <c r="C227" s="6"/>
      <c r="F227" s="6"/>
      <c r="M227" s="4"/>
      <c r="S227" s="4"/>
      <c r="U227" s="6"/>
      <c r="X227" s="4"/>
      <c r="Y227" s="4"/>
    </row>
    <row r="228">
      <c r="C228" s="6"/>
      <c r="F228" s="6"/>
      <c r="M228" s="4"/>
      <c r="S228" s="4"/>
      <c r="U228" s="6"/>
      <c r="X228" s="4"/>
      <c r="Y228" s="4"/>
    </row>
    <row r="229">
      <c r="C229" s="6"/>
      <c r="F229" s="6"/>
      <c r="M229" s="4"/>
      <c r="S229" s="4"/>
      <c r="U229" s="6"/>
      <c r="X229" s="4"/>
      <c r="Y229" s="4"/>
    </row>
    <row r="230">
      <c r="C230" s="6"/>
      <c r="F230" s="6"/>
      <c r="M230" s="4"/>
      <c r="S230" s="4"/>
      <c r="U230" s="6"/>
      <c r="X230" s="4"/>
      <c r="Y230" s="4"/>
    </row>
    <row r="231">
      <c r="C231" s="6"/>
      <c r="F231" s="6"/>
      <c r="M231" s="4"/>
      <c r="S231" s="4"/>
      <c r="U231" s="6"/>
      <c r="X231" s="4"/>
      <c r="Y231" s="4"/>
    </row>
    <row r="232">
      <c r="C232" s="6"/>
      <c r="F232" s="6"/>
      <c r="M232" s="4"/>
      <c r="S232" s="4"/>
      <c r="U232" s="6"/>
      <c r="X232" s="4"/>
      <c r="Y232" s="4"/>
    </row>
    <row r="233">
      <c r="C233" s="6"/>
      <c r="F233" s="6"/>
      <c r="M233" s="4"/>
      <c r="S233" s="4"/>
      <c r="U233" s="6"/>
      <c r="X233" s="4"/>
      <c r="Y233" s="4"/>
    </row>
    <row r="234">
      <c r="C234" s="6"/>
      <c r="F234" s="6"/>
      <c r="M234" s="4"/>
      <c r="S234" s="4"/>
      <c r="U234" s="6"/>
      <c r="X234" s="4"/>
      <c r="Y234" s="4"/>
    </row>
    <row r="235">
      <c r="C235" s="6"/>
      <c r="F235" s="6"/>
      <c r="M235" s="4"/>
      <c r="S235" s="4"/>
      <c r="U235" s="6"/>
      <c r="X235" s="4"/>
      <c r="Y235" s="4"/>
    </row>
    <row r="236">
      <c r="C236" s="6"/>
      <c r="F236" s="6"/>
      <c r="M236" s="4"/>
      <c r="S236" s="4"/>
      <c r="U236" s="6"/>
      <c r="X236" s="4"/>
      <c r="Y236" s="4"/>
    </row>
    <row r="237">
      <c r="C237" s="6"/>
      <c r="F237" s="6"/>
      <c r="M237" s="4"/>
      <c r="S237" s="4"/>
      <c r="U237" s="6"/>
      <c r="X237" s="4"/>
      <c r="Y237" s="4"/>
    </row>
    <row r="238">
      <c r="C238" s="6"/>
      <c r="F238" s="6"/>
      <c r="M238" s="4"/>
      <c r="S238" s="4"/>
      <c r="U238" s="6"/>
      <c r="X238" s="4"/>
      <c r="Y238" s="4"/>
    </row>
    <row r="239">
      <c r="C239" s="6"/>
      <c r="F239" s="6"/>
      <c r="M239" s="4"/>
      <c r="S239" s="4"/>
      <c r="U239" s="6"/>
      <c r="X239" s="4"/>
      <c r="Y239" s="4"/>
    </row>
    <row r="240">
      <c r="C240" s="6"/>
      <c r="F240" s="6"/>
      <c r="M240" s="4"/>
      <c r="S240" s="4"/>
      <c r="U240" s="6"/>
      <c r="X240" s="4"/>
      <c r="Y240" s="4"/>
    </row>
    <row r="241">
      <c r="C241" s="6"/>
      <c r="F241" s="6"/>
      <c r="M241" s="4"/>
      <c r="S241" s="4"/>
      <c r="U241" s="6"/>
      <c r="X241" s="4"/>
      <c r="Y241" s="4"/>
    </row>
    <row r="242">
      <c r="C242" s="6"/>
      <c r="F242" s="6"/>
      <c r="M242" s="4"/>
      <c r="S242" s="4"/>
      <c r="U242" s="6"/>
      <c r="X242" s="4"/>
      <c r="Y242" s="4"/>
    </row>
    <row r="243">
      <c r="C243" s="6"/>
      <c r="F243" s="6"/>
      <c r="M243" s="4"/>
      <c r="S243" s="4"/>
      <c r="U243" s="6"/>
      <c r="X243" s="4"/>
      <c r="Y243" s="4"/>
    </row>
    <row r="244">
      <c r="C244" s="6"/>
      <c r="F244" s="6"/>
      <c r="M244" s="4"/>
      <c r="S244" s="4"/>
      <c r="U244" s="6"/>
      <c r="X244" s="4"/>
      <c r="Y244" s="4"/>
    </row>
    <row r="245">
      <c r="C245" s="6"/>
      <c r="F245" s="6"/>
      <c r="M245" s="4"/>
      <c r="S245" s="4"/>
      <c r="U245" s="6"/>
      <c r="X245" s="4"/>
      <c r="Y245" s="4"/>
    </row>
    <row r="246">
      <c r="C246" s="6"/>
      <c r="F246" s="6"/>
      <c r="M246" s="4"/>
      <c r="S246" s="4"/>
      <c r="U246" s="6"/>
      <c r="X246" s="4"/>
      <c r="Y246" s="4"/>
    </row>
    <row r="247">
      <c r="C247" s="6"/>
      <c r="F247" s="6"/>
      <c r="M247" s="4"/>
      <c r="S247" s="4"/>
      <c r="U247" s="6"/>
      <c r="X247" s="4"/>
      <c r="Y247" s="4"/>
    </row>
    <row r="248">
      <c r="C248" s="6"/>
      <c r="F248" s="6"/>
      <c r="M248" s="4"/>
      <c r="S248" s="4"/>
      <c r="U248" s="6"/>
      <c r="X248" s="4"/>
      <c r="Y248" s="4"/>
    </row>
    <row r="249">
      <c r="C249" s="6"/>
      <c r="F249" s="6"/>
      <c r="M249" s="4"/>
      <c r="S249" s="4"/>
      <c r="U249" s="6"/>
      <c r="X249" s="4"/>
      <c r="Y249" s="4"/>
    </row>
    <row r="250">
      <c r="C250" s="6"/>
      <c r="F250" s="6"/>
      <c r="M250" s="4"/>
      <c r="S250" s="4"/>
      <c r="U250" s="6"/>
      <c r="X250" s="4"/>
      <c r="Y250" s="4"/>
    </row>
    <row r="251">
      <c r="C251" s="6"/>
      <c r="F251" s="6"/>
      <c r="M251" s="4"/>
      <c r="S251" s="4"/>
      <c r="U251" s="6"/>
      <c r="X251" s="4"/>
      <c r="Y251" s="4"/>
    </row>
    <row r="252">
      <c r="C252" s="6"/>
      <c r="F252" s="6"/>
      <c r="M252" s="4"/>
      <c r="S252" s="4"/>
      <c r="U252" s="6"/>
      <c r="X252" s="4"/>
      <c r="Y252" s="4"/>
    </row>
    <row r="253">
      <c r="C253" s="6"/>
      <c r="F253" s="6"/>
      <c r="M253" s="4"/>
      <c r="S253" s="4"/>
      <c r="U253" s="6"/>
      <c r="X253" s="4"/>
      <c r="Y253" s="4"/>
    </row>
    <row r="254">
      <c r="C254" s="6"/>
      <c r="F254" s="6"/>
      <c r="M254" s="4"/>
      <c r="S254" s="4"/>
      <c r="U254" s="6"/>
      <c r="X254" s="4"/>
      <c r="Y254" s="4"/>
    </row>
    <row r="255">
      <c r="C255" s="6"/>
      <c r="F255" s="6"/>
      <c r="M255" s="4"/>
      <c r="S255" s="4"/>
      <c r="U255" s="6"/>
      <c r="X255" s="4"/>
      <c r="Y255" s="4"/>
    </row>
    <row r="256">
      <c r="C256" s="6"/>
      <c r="F256" s="6"/>
      <c r="M256" s="4"/>
      <c r="S256" s="4"/>
      <c r="U256" s="6"/>
      <c r="X256" s="4"/>
      <c r="Y256" s="4"/>
    </row>
    <row r="257">
      <c r="C257" s="6"/>
      <c r="F257" s="6"/>
      <c r="M257" s="4"/>
      <c r="S257" s="4"/>
      <c r="U257" s="6"/>
      <c r="X257" s="4"/>
      <c r="Y257" s="4"/>
    </row>
    <row r="258">
      <c r="C258" s="6"/>
      <c r="F258" s="6"/>
      <c r="M258" s="4"/>
      <c r="S258" s="4"/>
      <c r="U258" s="6"/>
      <c r="X258" s="4"/>
      <c r="Y258" s="4"/>
    </row>
    <row r="259">
      <c r="C259" s="6"/>
      <c r="F259" s="6"/>
      <c r="M259" s="4"/>
      <c r="S259" s="4"/>
      <c r="U259" s="6"/>
      <c r="X259" s="4"/>
      <c r="Y259" s="4"/>
    </row>
    <row r="260">
      <c r="C260" s="6"/>
      <c r="F260" s="6"/>
      <c r="M260" s="4"/>
      <c r="S260" s="4"/>
      <c r="U260" s="6"/>
      <c r="X260" s="4"/>
      <c r="Y260" s="4"/>
    </row>
    <row r="261">
      <c r="C261" s="6"/>
      <c r="F261" s="6"/>
      <c r="M261" s="4"/>
      <c r="S261" s="4"/>
      <c r="U261" s="6"/>
      <c r="X261" s="4"/>
      <c r="Y261" s="4"/>
    </row>
    <row r="262">
      <c r="C262" s="6"/>
      <c r="F262" s="6"/>
      <c r="M262" s="4"/>
      <c r="S262" s="4"/>
      <c r="U262" s="6"/>
      <c r="X262" s="4"/>
      <c r="Y262" s="4"/>
    </row>
    <row r="263">
      <c r="C263" s="6"/>
      <c r="F263" s="6"/>
      <c r="M263" s="4"/>
      <c r="S263" s="4"/>
      <c r="U263" s="6"/>
      <c r="X263" s="4"/>
      <c r="Y263" s="4"/>
    </row>
    <row r="264">
      <c r="C264" s="6"/>
      <c r="F264" s="6"/>
      <c r="M264" s="4"/>
      <c r="S264" s="4"/>
      <c r="U264" s="6"/>
      <c r="X264" s="4"/>
      <c r="Y264" s="4"/>
    </row>
    <row r="265">
      <c r="C265" s="6"/>
      <c r="F265" s="6"/>
      <c r="M265" s="4"/>
      <c r="S265" s="4"/>
      <c r="U265" s="6"/>
      <c r="X265" s="4"/>
      <c r="Y265" s="4"/>
    </row>
    <row r="266">
      <c r="C266" s="6"/>
      <c r="F266" s="6"/>
      <c r="M266" s="4"/>
      <c r="S266" s="4"/>
      <c r="U266" s="6"/>
      <c r="X266" s="4"/>
      <c r="Y266" s="4"/>
    </row>
    <row r="267">
      <c r="C267" s="6"/>
      <c r="F267" s="6"/>
      <c r="M267" s="4"/>
      <c r="S267" s="4"/>
      <c r="U267" s="6"/>
      <c r="X267" s="4"/>
      <c r="Y267" s="4"/>
    </row>
    <row r="268">
      <c r="C268" s="6"/>
      <c r="F268" s="6"/>
      <c r="M268" s="4"/>
      <c r="S268" s="4"/>
      <c r="U268" s="6"/>
      <c r="X268" s="4"/>
      <c r="Y268" s="4"/>
    </row>
    <row r="269">
      <c r="C269" s="6"/>
      <c r="F269" s="6"/>
      <c r="M269" s="4"/>
      <c r="S269" s="4"/>
      <c r="U269" s="6"/>
      <c r="X269" s="4"/>
      <c r="Y269" s="4"/>
    </row>
    <row r="270">
      <c r="C270" s="6"/>
      <c r="F270" s="6"/>
      <c r="M270" s="4"/>
      <c r="S270" s="4"/>
      <c r="U270" s="6"/>
      <c r="X270" s="4"/>
      <c r="Y270" s="4"/>
    </row>
    <row r="271">
      <c r="C271" s="6"/>
      <c r="F271" s="6"/>
      <c r="M271" s="4"/>
      <c r="S271" s="4"/>
      <c r="U271" s="6"/>
      <c r="X271" s="4"/>
      <c r="Y271" s="4"/>
    </row>
    <row r="272">
      <c r="C272" s="6"/>
      <c r="F272" s="6"/>
      <c r="M272" s="4"/>
      <c r="S272" s="4"/>
      <c r="U272" s="6"/>
      <c r="X272" s="4"/>
      <c r="Y272" s="4"/>
    </row>
    <row r="273">
      <c r="C273" s="6"/>
      <c r="F273" s="6"/>
      <c r="M273" s="4"/>
      <c r="S273" s="4"/>
      <c r="U273" s="6"/>
      <c r="X273" s="4"/>
      <c r="Y273" s="4"/>
    </row>
    <row r="274">
      <c r="C274" s="6"/>
      <c r="F274" s="6"/>
      <c r="M274" s="4"/>
      <c r="S274" s="4"/>
      <c r="U274" s="6"/>
      <c r="X274" s="4"/>
      <c r="Y274" s="4"/>
    </row>
    <row r="275">
      <c r="C275" s="6"/>
      <c r="F275" s="6"/>
      <c r="M275" s="4"/>
      <c r="S275" s="4"/>
      <c r="U275" s="6"/>
      <c r="X275" s="4"/>
      <c r="Y275" s="4"/>
    </row>
    <row r="276">
      <c r="C276" s="6"/>
      <c r="F276" s="6"/>
      <c r="M276" s="4"/>
      <c r="S276" s="4"/>
      <c r="U276" s="6"/>
      <c r="X276" s="4"/>
      <c r="Y276" s="4"/>
    </row>
    <row r="277">
      <c r="C277" s="6"/>
      <c r="F277" s="6"/>
      <c r="M277" s="4"/>
      <c r="S277" s="4"/>
      <c r="U277" s="6"/>
      <c r="X277" s="4"/>
      <c r="Y277" s="4"/>
    </row>
    <row r="278">
      <c r="C278" s="6"/>
      <c r="F278" s="6"/>
      <c r="M278" s="4"/>
      <c r="S278" s="4"/>
      <c r="U278" s="6"/>
      <c r="X278" s="4"/>
      <c r="Y278" s="4"/>
    </row>
    <row r="279">
      <c r="C279" s="6"/>
      <c r="F279" s="6"/>
      <c r="M279" s="4"/>
      <c r="S279" s="4"/>
      <c r="U279" s="6"/>
      <c r="X279" s="4"/>
      <c r="Y279" s="4"/>
    </row>
    <row r="280">
      <c r="C280" s="6"/>
      <c r="F280" s="6"/>
      <c r="M280" s="4"/>
      <c r="S280" s="4"/>
      <c r="U280" s="6"/>
      <c r="X280" s="4"/>
      <c r="Y280" s="4"/>
    </row>
    <row r="281">
      <c r="C281" s="6"/>
      <c r="F281" s="6"/>
      <c r="M281" s="4"/>
      <c r="S281" s="4"/>
      <c r="U281" s="6"/>
      <c r="X281" s="4"/>
      <c r="Y281" s="4"/>
    </row>
    <row r="282">
      <c r="C282" s="6"/>
      <c r="F282" s="6"/>
      <c r="M282" s="4"/>
      <c r="S282" s="4"/>
      <c r="U282" s="6"/>
      <c r="X282" s="4"/>
      <c r="Y282" s="4"/>
    </row>
    <row r="283">
      <c r="C283" s="6"/>
      <c r="F283" s="6"/>
      <c r="M283" s="4"/>
      <c r="S283" s="4"/>
      <c r="U283" s="6"/>
      <c r="X283" s="4"/>
      <c r="Y283" s="4"/>
    </row>
    <row r="284">
      <c r="C284" s="6"/>
      <c r="F284" s="6"/>
      <c r="M284" s="4"/>
      <c r="S284" s="4"/>
      <c r="U284" s="6"/>
      <c r="X284" s="4"/>
      <c r="Y284" s="4"/>
    </row>
    <row r="285">
      <c r="C285" s="6"/>
      <c r="F285" s="6"/>
      <c r="M285" s="4"/>
      <c r="S285" s="4"/>
      <c r="U285" s="6"/>
      <c r="X285" s="4"/>
      <c r="Y285" s="4"/>
    </row>
    <row r="286">
      <c r="C286" s="6"/>
      <c r="F286" s="6"/>
      <c r="M286" s="4"/>
      <c r="S286" s="4"/>
      <c r="U286" s="6"/>
      <c r="X286" s="4"/>
      <c r="Y286" s="4"/>
    </row>
    <row r="287">
      <c r="C287" s="6"/>
      <c r="F287" s="6"/>
      <c r="M287" s="4"/>
      <c r="S287" s="4"/>
      <c r="U287" s="6"/>
      <c r="X287" s="4"/>
      <c r="Y287" s="4"/>
    </row>
    <row r="288">
      <c r="C288" s="6"/>
      <c r="F288" s="6"/>
      <c r="M288" s="4"/>
      <c r="S288" s="4"/>
      <c r="U288" s="6"/>
      <c r="X288" s="4"/>
      <c r="Y288" s="4"/>
    </row>
    <row r="289">
      <c r="C289" s="6"/>
      <c r="F289" s="6"/>
      <c r="M289" s="4"/>
      <c r="S289" s="4"/>
      <c r="U289" s="6"/>
      <c r="X289" s="4"/>
      <c r="Y289" s="4"/>
    </row>
    <row r="290">
      <c r="C290" s="6"/>
      <c r="F290" s="6"/>
      <c r="M290" s="4"/>
      <c r="S290" s="4"/>
      <c r="U290" s="6"/>
      <c r="X290" s="4"/>
      <c r="Y290" s="4"/>
    </row>
    <row r="291">
      <c r="C291" s="6"/>
      <c r="F291" s="6"/>
      <c r="M291" s="4"/>
      <c r="S291" s="4"/>
      <c r="U291" s="6"/>
      <c r="X291" s="4"/>
      <c r="Y291" s="4"/>
    </row>
    <row r="292">
      <c r="C292" s="6"/>
      <c r="F292" s="6"/>
      <c r="M292" s="4"/>
      <c r="S292" s="4"/>
      <c r="U292" s="6"/>
      <c r="X292" s="4"/>
      <c r="Y292" s="4"/>
    </row>
    <row r="293">
      <c r="C293" s="6"/>
      <c r="F293" s="6"/>
      <c r="M293" s="4"/>
      <c r="S293" s="4"/>
      <c r="U293" s="6"/>
      <c r="X293" s="4"/>
      <c r="Y293" s="4"/>
    </row>
    <row r="294">
      <c r="C294" s="6"/>
      <c r="F294" s="6"/>
      <c r="M294" s="4"/>
      <c r="S294" s="4"/>
      <c r="U294" s="6"/>
      <c r="X294" s="4"/>
      <c r="Y294" s="4"/>
    </row>
    <row r="295">
      <c r="C295" s="6"/>
      <c r="F295" s="6"/>
      <c r="M295" s="4"/>
      <c r="S295" s="4"/>
      <c r="U295" s="6"/>
      <c r="X295" s="4"/>
      <c r="Y295" s="4"/>
    </row>
    <row r="296">
      <c r="C296" s="6"/>
      <c r="F296" s="6"/>
      <c r="M296" s="4"/>
      <c r="S296" s="4"/>
      <c r="U296" s="6"/>
      <c r="X296" s="4"/>
      <c r="Y296" s="4"/>
    </row>
    <row r="297">
      <c r="C297" s="6"/>
      <c r="F297" s="6"/>
      <c r="M297" s="4"/>
      <c r="S297" s="4"/>
      <c r="U297" s="6"/>
      <c r="X297" s="4"/>
      <c r="Y297" s="4"/>
    </row>
    <row r="298">
      <c r="C298" s="6"/>
      <c r="F298" s="6"/>
      <c r="M298" s="4"/>
      <c r="S298" s="4"/>
      <c r="U298" s="6"/>
      <c r="X298" s="4"/>
      <c r="Y298" s="4"/>
    </row>
    <row r="299">
      <c r="C299" s="6"/>
      <c r="F299" s="6"/>
      <c r="M299" s="4"/>
      <c r="S299" s="4"/>
      <c r="U299" s="6"/>
      <c r="X299" s="4"/>
      <c r="Y299" s="4"/>
    </row>
    <row r="300">
      <c r="C300" s="6"/>
      <c r="F300" s="6"/>
      <c r="M300" s="4"/>
      <c r="S300" s="4"/>
      <c r="U300" s="6"/>
      <c r="X300" s="4"/>
      <c r="Y300" s="4"/>
    </row>
    <row r="301">
      <c r="C301" s="6"/>
      <c r="F301" s="6"/>
      <c r="M301" s="4"/>
      <c r="S301" s="4"/>
      <c r="U301" s="6"/>
      <c r="X301" s="4"/>
      <c r="Y301" s="4"/>
    </row>
    <row r="302">
      <c r="C302" s="6"/>
      <c r="F302" s="6"/>
      <c r="M302" s="4"/>
      <c r="S302" s="4"/>
      <c r="U302" s="6"/>
      <c r="X302" s="4"/>
      <c r="Y302" s="4"/>
    </row>
    <row r="303">
      <c r="C303" s="6"/>
      <c r="F303" s="6"/>
      <c r="M303" s="4"/>
      <c r="S303" s="4"/>
      <c r="U303" s="6"/>
      <c r="X303" s="4"/>
      <c r="Y303" s="4"/>
    </row>
    <row r="304">
      <c r="C304" s="6"/>
      <c r="F304" s="6"/>
      <c r="M304" s="4"/>
      <c r="S304" s="4"/>
      <c r="U304" s="6"/>
      <c r="X304" s="4"/>
      <c r="Y304" s="4"/>
    </row>
    <row r="305">
      <c r="C305" s="6"/>
      <c r="F305" s="6"/>
      <c r="M305" s="4"/>
      <c r="S305" s="4"/>
      <c r="U305" s="6"/>
      <c r="X305" s="4"/>
      <c r="Y305" s="4"/>
    </row>
    <row r="306">
      <c r="C306" s="6"/>
      <c r="F306" s="6"/>
      <c r="M306" s="4"/>
      <c r="S306" s="4"/>
      <c r="U306" s="6"/>
      <c r="X306" s="4"/>
      <c r="Y306" s="4"/>
    </row>
    <row r="307">
      <c r="C307" s="6"/>
      <c r="F307" s="6"/>
      <c r="M307" s="4"/>
      <c r="S307" s="4"/>
      <c r="U307" s="6"/>
      <c r="X307" s="4"/>
      <c r="Y307" s="4"/>
    </row>
    <row r="308">
      <c r="C308" s="6"/>
      <c r="F308" s="6"/>
      <c r="M308" s="4"/>
      <c r="S308" s="4"/>
      <c r="U308" s="6"/>
      <c r="X308" s="4"/>
      <c r="Y308" s="4"/>
    </row>
    <row r="309">
      <c r="C309" s="6"/>
      <c r="F309" s="6"/>
      <c r="M309" s="4"/>
      <c r="S309" s="4"/>
      <c r="U309" s="6"/>
      <c r="X309" s="4"/>
      <c r="Y309" s="4"/>
    </row>
    <row r="310">
      <c r="C310" s="6"/>
      <c r="F310" s="6"/>
      <c r="M310" s="4"/>
      <c r="S310" s="4"/>
      <c r="U310" s="6"/>
      <c r="X310" s="4"/>
      <c r="Y310" s="4"/>
    </row>
    <row r="311">
      <c r="C311" s="6"/>
      <c r="F311" s="6"/>
      <c r="M311" s="4"/>
      <c r="S311" s="4"/>
      <c r="U311" s="6"/>
      <c r="X311" s="4"/>
      <c r="Y311" s="4"/>
    </row>
    <row r="312">
      <c r="C312" s="6"/>
      <c r="F312" s="6"/>
      <c r="M312" s="4"/>
      <c r="S312" s="4"/>
      <c r="U312" s="6"/>
      <c r="X312" s="4"/>
      <c r="Y312" s="4"/>
    </row>
    <row r="313">
      <c r="C313" s="6"/>
      <c r="F313" s="6"/>
      <c r="M313" s="4"/>
      <c r="S313" s="4"/>
      <c r="U313" s="6"/>
      <c r="X313" s="4"/>
      <c r="Y313" s="4"/>
    </row>
    <row r="314">
      <c r="C314" s="6"/>
      <c r="F314" s="6"/>
      <c r="M314" s="4"/>
      <c r="S314" s="4"/>
      <c r="U314" s="6"/>
      <c r="X314" s="4"/>
      <c r="Y314" s="4"/>
    </row>
    <row r="315">
      <c r="C315" s="6"/>
      <c r="F315" s="6"/>
      <c r="M315" s="4"/>
      <c r="S315" s="4"/>
      <c r="U315" s="6"/>
      <c r="X315" s="4"/>
      <c r="Y315" s="4"/>
    </row>
    <row r="316">
      <c r="C316" s="6"/>
      <c r="F316" s="6"/>
      <c r="M316" s="4"/>
      <c r="S316" s="4"/>
      <c r="U316" s="6"/>
      <c r="X316" s="4"/>
      <c r="Y316" s="4"/>
    </row>
    <row r="317">
      <c r="C317" s="6"/>
      <c r="F317" s="6"/>
      <c r="M317" s="4"/>
      <c r="S317" s="4"/>
      <c r="U317" s="6"/>
      <c r="X317" s="4"/>
      <c r="Y317" s="4"/>
    </row>
    <row r="318">
      <c r="C318" s="6"/>
      <c r="F318" s="6"/>
      <c r="M318" s="4"/>
      <c r="S318" s="4"/>
      <c r="U318" s="6"/>
      <c r="X318" s="4"/>
      <c r="Y318" s="4"/>
    </row>
    <row r="319">
      <c r="C319" s="6"/>
      <c r="F319" s="6"/>
      <c r="M319" s="4"/>
      <c r="S319" s="4"/>
      <c r="U319" s="6"/>
      <c r="X319" s="4"/>
      <c r="Y319" s="4"/>
    </row>
    <row r="320">
      <c r="C320" s="6"/>
      <c r="F320" s="6"/>
      <c r="M320" s="4"/>
      <c r="S320" s="4"/>
      <c r="U320" s="6"/>
      <c r="X320" s="4"/>
      <c r="Y320" s="4"/>
    </row>
    <row r="321">
      <c r="C321" s="6"/>
      <c r="F321" s="6"/>
      <c r="M321" s="4"/>
      <c r="S321" s="4"/>
      <c r="U321" s="6"/>
      <c r="X321" s="4"/>
      <c r="Y321" s="4"/>
    </row>
    <row r="322">
      <c r="C322" s="6"/>
      <c r="F322" s="6"/>
      <c r="M322" s="4"/>
      <c r="S322" s="4"/>
      <c r="U322" s="6"/>
      <c r="X322" s="4"/>
      <c r="Y322" s="4"/>
    </row>
    <row r="323">
      <c r="C323" s="6"/>
      <c r="F323" s="6"/>
      <c r="M323" s="4"/>
      <c r="S323" s="4"/>
      <c r="U323" s="6"/>
      <c r="X323" s="4"/>
      <c r="Y323" s="4"/>
    </row>
    <row r="324">
      <c r="C324" s="6"/>
      <c r="F324" s="6"/>
      <c r="M324" s="4"/>
      <c r="S324" s="4"/>
      <c r="U324" s="6"/>
      <c r="X324" s="4"/>
      <c r="Y324" s="4"/>
    </row>
    <row r="325">
      <c r="C325" s="6"/>
      <c r="F325" s="6"/>
      <c r="M325" s="4"/>
      <c r="S325" s="4"/>
      <c r="U325" s="6"/>
      <c r="X325" s="4"/>
      <c r="Y325" s="4"/>
    </row>
    <row r="326">
      <c r="C326" s="6"/>
      <c r="F326" s="6"/>
      <c r="M326" s="4"/>
      <c r="S326" s="4"/>
      <c r="U326" s="6"/>
      <c r="X326" s="4"/>
      <c r="Y326" s="4"/>
    </row>
    <row r="327">
      <c r="C327" s="6"/>
      <c r="F327" s="6"/>
      <c r="M327" s="4"/>
      <c r="S327" s="4"/>
      <c r="U327" s="6"/>
      <c r="X327" s="4"/>
      <c r="Y327" s="4"/>
    </row>
    <row r="328">
      <c r="C328" s="6"/>
      <c r="F328" s="6"/>
      <c r="M328" s="4"/>
      <c r="S328" s="4"/>
      <c r="U328" s="6"/>
      <c r="X328" s="4"/>
      <c r="Y328" s="4"/>
    </row>
    <row r="329">
      <c r="C329" s="6"/>
      <c r="F329" s="6"/>
      <c r="M329" s="4"/>
      <c r="S329" s="4"/>
      <c r="U329" s="6"/>
      <c r="X329" s="4"/>
      <c r="Y329" s="4"/>
    </row>
    <row r="330">
      <c r="C330" s="6"/>
      <c r="F330" s="6"/>
      <c r="M330" s="4"/>
      <c r="S330" s="4"/>
      <c r="U330" s="6"/>
      <c r="X330" s="4"/>
      <c r="Y330" s="4"/>
    </row>
    <row r="331">
      <c r="C331" s="6"/>
      <c r="F331" s="6"/>
      <c r="M331" s="4"/>
      <c r="S331" s="4"/>
      <c r="U331" s="6"/>
      <c r="X331" s="4"/>
      <c r="Y331" s="4"/>
    </row>
    <row r="332">
      <c r="C332" s="6"/>
      <c r="F332" s="6"/>
      <c r="M332" s="4"/>
      <c r="S332" s="4"/>
      <c r="U332" s="6"/>
      <c r="X332" s="4"/>
      <c r="Y332" s="4"/>
    </row>
    <row r="333">
      <c r="C333" s="6"/>
      <c r="F333" s="6"/>
      <c r="M333" s="4"/>
      <c r="S333" s="4"/>
      <c r="U333" s="6"/>
      <c r="X333" s="4"/>
      <c r="Y333" s="4"/>
    </row>
    <row r="334">
      <c r="C334" s="6"/>
      <c r="F334" s="6"/>
      <c r="M334" s="4"/>
      <c r="S334" s="4"/>
      <c r="U334" s="6"/>
      <c r="X334" s="4"/>
      <c r="Y334" s="4"/>
    </row>
    <row r="335">
      <c r="C335" s="6"/>
      <c r="F335" s="6"/>
      <c r="M335" s="4"/>
      <c r="S335" s="4"/>
      <c r="U335" s="6"/>
      <c r="X335" s="4"/>
      <c r="Y335" s="4"/>
    </row>
    <row r="336">
      <c r="C336" s="6"/>
      <c r="F336" s="6"/>
      <c r="M336" s="4"/>
      <c r="S336" s="4"/>
      <c r="U336" s="6"/>
      <c r="X336" s="4"/>
      <c r="Y336" s="4"/>
    </row>
    <row r="337">
      <c r="C337" s="6"/>
      <c r="F337" s="6"/>
      <c r="M337" s="4"/>
      <c r="S337" s="4"/>
      <c r="U337" s="6"/>
      <c r="X337" s="4"/>
      <c r="Y337" s="4"/>
    </row>
    <row r="338">
      <c r="C338" s="6"/>
      <c r="F338" s="6"/>
      <c r="M338" s="4"/>
      <c r="S338" s="4"/>
      <c r="U338" s="6"/>
      <c r="X338" s="4"/>
      <c r="Y338" s="4"/>
    </row>
    <row r="339">
      <c r="C339" s="6"/>
      <c r="F339" s="6"/>
      <c r="M339" s="4"/>
      <c r="S339" s="4"/>
      <c r="U339" s="6"/>
      <c r="X339" s="4"/>
      <c r="Y339" s="4"/>
    </row>
    <row r="340">
      <c r="C340" s="6"/>
      <c r="F340" s="6"/>
      <c r="M340" s="4"/>
      <c r="S340" s="4"/>
      <c r="U340" s="6"/>
      <c r="X340" s="4"/>
      <c r="Y340" s="4"/>
    </row>
    <row r="341">
      <c r="C341" s="6"/>
      <c r="F341" s="6"/>
      <c r="M341" s="4"/>
      <c r="S341" s="4"/>
      <c r="U341" s="6"/>
      <c r="X341" s="4"/>
      <c r="Y341" s="4"/>
    </row>
    <row r="342">
      <c r="C342" s="6"/>
      <c r="F342" s="6"/>
      <c r="M342" s="4"/>
      <c r="S342" s="4"/>
      <c r="U342" s="6"/>
      <c r="X342" s="4"/>
      <c r="Y342" s="4"/>
    </row>
    <row r="343">
      <c r="C343" s="6"/>
      <c r="F343" s="6"/>
      <c r="M343" s="4"/>
      <c r="S343" s="4"/>
      <c r="U343" s="6"/>
      <c r="X343" s="4"/>
      <c r="Y343" s="4"/>
    </row>
    <row r="344">
      <c r="C344" s="6"/>
      <c r="F344" s="6"/>
      <c r="M344" s="4"/>
      <c r="S344" s="4"/>
      <c r="U344" s="6"/>
      <c r="X344" s="4"/>
      <c r="Y344" s="4"/>
    </row>
    <row r="345">
      <c r="C345" s="6"/>
      <c r="F345" s="6"/>
      <c r="M345" s="4"/>
      <c r="S345" s="4"/>
      <c r="U345" s="6"/>
      <c r="X345" s="4"/>
      <c r="Y345" s="4"/>
    </row>
    <row r="346">
      <c r="C346" s="6"/>
      <c r="F346" s="6"/>
      <c r="M346" s="4"/>
      <c r="S346" s="4"/>
      <c r="U346" s="6"/>
      <c r="X346" s="4"/>
      <c r="Y346" s="4"/>
    </row>
    <row r="347">
      <c r="C347" s="6"/>
      <c r="F347" s="6"/>
      <c r="M347" s="4"/>
      <c r="S347" s="4"/>
      <c r="U347" s="6"/>
      <c r="X347" s="4"/>
      <c r="Y347" s="4"/>
    </row>
    <row r="348">
      <c r="C348" s="6"/>
      <c r="F348" s="6"/>
      <c r="M348" s="4"/>
      <c r="S348" s="4"/>
      <c r="U348" s="6"/>
      <c r="X348" s="4"/>
      <c r="Y348" s="4"/>
    </row>
    <row r="349">
      <c r="C349" s="6"/>
      <c r="F349" s="6"/>
      <c r="M349" s="4"/>
      <c r="S349" s="4"/>
      <c r="U349" s="6"/>
      <c r="X349" s="4"/>
      <c r="Y349" s="4"/>
    </row>
    <row r="350">
      <c r="C350" s="6"/>
      <c r="F350" s="6"/>
      <c r="M350" s="4"/>
      <c r="S350" s="4"/>
      <c r="U350" s="6"/>
      <c r="X350" s="4"/>
      <c r="Y350" s="4"/>
    </row>
    <row r="351">
      <c r="C351" s="6"/>
      <c r="F351" s="6"/>
      <c r="M351" s="4"/>
      <c r="S351" s="4"/>
      <c r="U351" s="6"/>
      <c r="X351" s="4"/>
      <c r="Y351" s="4"/>
    </row>
    <row r="352">
      <c r="C352" s="6"/>
      <c r="F352" s="6"/>
      <c r="M352" s="4"/>
      <c r="S352" s="4"/>
      <c r="U352" s="6"/>
      <c r="X352" s="4"/>
      <c r="Y352" s="4"/>
    </row>
    <row r="353">
      <c r="C353" s="6"/>
      <c r="F353" s="6"/>
      <c r="M353" s="4"/>
      <c r="S353" s="4"/>
      <c r="U353" s="6"/>
      <c r="X353" s="4"/>
      <c r="Y353" s="4"/>
    </row>
    <row r="354">
      <c r="C354" s="6"/>
      <c r="F354" s="6"/>
      <c r="M354" s="4"/>
      <c r="S354" s="4"/>
      <c r="U354" s="6"/>
      <c r="X354" s="4"/>
      <c r="Y354" s="4"/>
    </row>
    <row r="355">
      <c r="C355" s="6"/>
      <c r="F355" s="6"/>
      <c r="M355" s="4"/>
      <c r="S355" s="4"/>
      <c r="U355" s="6"/>
      <c r="X355" s="4"/>
      <c r="Y355" s="4"/>
    </row>
    <row r="356">
      <c r="C356" s="6"/>
      <c r="F356" s="6"/>
      <c r="M356" s="4"/>
      <c r="S356" s="4"/>
      <c r="U356" s="6"/>
      <c r="X356" s="4"/>
      <c r="Y356" s="4"/>
    </row>
    <row r="357">
      <c r="C357" s="6"/>
      <c r="F357" s="6"/>
      <c r="M357" s="4"/>
      <c r="S357" s="4"/>
      <c r="U357" s="6"/>
      <c r="X357" s="4"/>
      <c r="Y357" s="4"/>
    </row>
    <row r="358">
      <c r="C358" s="6"/>
      <c r="F358" s="6"/>
      <c r="M358" s="4"/>
      <c r="S358" s="4"/>
      <c r="U358" s="6"/>
      <c r="X358" s="4"/>
      <c r="Y358" s="4"/>
    </row>
    <row r="359">
      <c r="C359" s="6"/>
      <c r="F359" s="6"/>
      <c r="M359" s="4"/>
      <c r="S359" s="4"/>
      <c r="U359" s="6"/>
      <c r="X359" s="4"/>
      <c r="Y359" s="4"/>
    </row>
    <row r="360">
      <c r="C360" s="6"/>
      <c r="F360" s="6"/>
      <c r="M360" s="4"/>
      <c r="S360" s="4"/>
      <c r="U360" s="6"/>
      <c r="X360" s="4"/>
      <c r="Y360" s="4"/>
    </row>
    <row r="361">
      <c r="C361" s="6"/>
      <c r="F361" s="6"/>
      <c r="M361" s="4"/>
      <c r="S361" s="4"/>
      <c r="U361" s="6"/>
      <c r="X361" s="4"/>
      <c r="Y361" s="4"/>
    </row>
    <row r="362">
      <c r="C362" s="6"/>
      <c r="F362" s="6"/>
      <c r="M362" s="4"/>
      <c r="S362" s="4"/>
      <c r="U362" s="6"/>
      <c r="X362" s="4"/>
      <c r="Y362" s="4"/>
    </row>
    <row r="363">
      <c r="C363" s="6"/>
      <c r="F363" s="6"/>
      <c r="M363" s="4"/>
      <c r="S363" s="4"/>
      <c r="U363" s="6"/>
      <c r="X363" s="4"/>
      <c r="Y363" s="4"/>
    </row>
    <row r="364">
      <c r="C364" s="6"/>
      <c r="F364" s="6"/>
      <c r="M364" s="4"/>
      <c r="S364" s="4"/>
      <c r="U364" s="6"/>
      <c r="X364" s="4"/>
      <c r="Y364" s="4"/>
    </row>
    <row r="365">
      <c r="C365" s="6"/>
      <c r="F365" s="6"/>
      <c r="M365" s="4"/>
      <c r="S365" s="4"/>
      <c r="U365" s="6"/>
      <c r="X365" s="4"/>
      <c r="Y365" s="4"/>
    </row>
    <row r="366">
      <c r="C366" s="6"/>
      <c r="F366" s="6"/>
      <c r="M366" s="4"/>
      <c r="S366" s="4"/>
      <c r="U366" s="6"/>
      <c r="X366" s="4"/>
      <c r="Y366" s="4"/>
    </row>
    <row r="367">
      <c r="C367" s="6"/>
      <c r="F367" s="6"/>
      <c r="M367" s="4"/>
      <c r="S367" s="4"/>
      <c r="U367" s="6"/>
      <c r="X367" s="4"/>
      <c r="Y367" s="4"/>
    </row>
    <row r="368">
      <c r="C368" s="6"/>
      <c r="F368" s="6"/>
      <c r="M368" s="4"/>
      <c r="S368" s="4"/>
      <c r="U368" s="6"/>
      <c r="X368" s="4"/>
      <c r="Y368" s="4"/>
    </row>
    <row r="369">
      <c r="C369" s="6"/>
      <c r="F369" s="6"/>
      <c r="M369" s="4"/>
      <c r="S369" s="4"/>
      <c r="U369" s="6"/>
      <c r="X369" s="4"/>
      <c r="Y369" s="4"/>
    </row>
    <row r="370">
      <c r="C370" s="6"/>
      <c r="F370" s="6"/>
      <c r="M370" s="4"/>
      <c r="S370" s="4"/>
      <c r="U370" s="6"/>
      <c r="X370" s="4"/>
      <c r="Y370" s="4"/>
    </row>
    <row r="371">
      <c r="C371" s="6"/>
      <c r="F371" s="6"/>
      <c r="M371" s="4"/>
      <c r="S371" s="4"/>
      <c r="U371" s="6"/>
      <c r="X371" s="4"/>
      <c r="Y371" s="4"/>
    </row>
    <row r="372">
      <c r="C372" s="6"/>
      <c r="F372" s="6"/>
      <c r="M372" s="4"/>
      <c r="S372" s="4"/>
      <c r="U372" s="6"/>
      <c r="X372" s="4"/>
      <c r="Y372" s="4"/>
    </row>
    <row r="373">
      <c r="C373" s="6"/>
      <c r="F373" s="6"/>
      <c r="M373" s="4"/>
      <c r="S373" s="4"/>
      <c r="U373" s="6"/>
      <c r="X373" s="4"/>
      <c r="Y373" s="4"/>
    </row>
    <row r="374">
      <c r="C374" s="6"/>
      <c r="F374" s="6"/>
      <c r="M374" s="4"/>
      <c r="S374" s="4"/>
      <c r="U374" s="6"/>
      <c r="X374" s="4"/>
      <c r="Y374" s="4"/>
    </row>
    <row r="375">
      <c r="C375" s="6"/>
      <c r="F375" s="6"/>
      <c r="M375" s="4"/>
      <c r="S375" s="4"/>
      <c r="U375" s="6"/>
      <c r="X375" s="4"/>
      <c r="Y375" s="4"/>
    </row>
    <row r="376">
      <c r="C376" s="6"/>
      <c r="F376" s="6"/>
      <c r="M376" s="4"/>
      <c r="S376" s="4"/>
      <c r="U376" s="6"/>
      <c r="X376" s="4"/>
      <c r="Y376" s="4"/>
    </row>
    <row r="377">
      <c r="C377" s="6"/>
      <c r="F377" s="6"/>
      <c r="M377" s="4"/>
      <c r="S377" s="4"/>
      <c r="U377" s="6"/>
      <c r="X377" s="4"/>
      <c r="Y377" s="4"/>
    </row>
    <row r="378">
      <c r="C378" s="6"/>
      <c r="F378" s="6"/>
      <c r="M378" s="4"/>
      <c r="S378" s="4"/>
      <c r="U378" s="6"/>
      <c r="X378" s="4"/>
      <c r="Y378" s="4"/>
    </row>
    <row r="379">
      <c r="C379" s="6"/>
      <c r="F379" s="6"/>
      <c r="M379" s="4"/>
      <c r="S379" s="4"/>
      <c r="U379" s="6"/>
      <c r="X379" s="4"/>
      <c r="Y379" s="4"/>
    </row>
    <row r="380">
      <c r="C380" s="6"/>
      <c r="F380" s="6"/>
      <c r="M380" s="4"/>
      <c r="S380" s="4"/>
      <c r="U380" s="6"/>
      <c r="X380" s="4"/>
      <c r="Y380" s="4"/>
    </row>
    <row r="381">
      <c r="C381" s="6"/>
      <c r="F381" s="6"/>
      <c r="M381" s="4"/>
      <c r="S381" s="4"/>
      <c r="U381" s="6"/>
      <c r="X381" s="4"/>
      <c r="Y381" s="4"/>
    </row>
    <row r="382">
      <c r="C382" s="6"/>
      <c r="F382" s="6"/>
      <c r="M382" s="4"/>
      <c r="S382" s="4"/>
      <c r="U382" s="6"/>
      <c r="X382" s="4"/>
      <c r="Y382" s="4"/>
    </row>
    <row r="383">
      <c r="C383" s="6"/>
      <c r="F383" s="6"/>
      <c r="M383" s="4"/>
      <c r="S383" s="4"/>
      <c r="U383" s="6"/>
      <c r="X383" s="4"/>
      <c r="Y383" s="4"/>
    </row>
    <row r="384">
      <c r="C384" s="6"/>
      <c r="F384" s="6"/>
      <c r="M384" s="4"/>
      <c r="S384" s="4"/>
      <c r="U384" s="6"/>
      <c r="X384" s="4"/>
      <c r="Y384" s="4"/>
    </row>
    <row r="385">
      <c r="C385" s="6"/>
      <c r="F385" s="6"/>
      <c r="M385" s="4"/>
      <c r="S385" s="4"/>
      <c r="U385" s="6"/>
      <c r="X385" s="4"/>
      <c r="Y385" s="4"/>
    </row>
    <row r="386">
      <c r="C386" s="6"/>
      <c r="F386" s="6"/>
      <c r="M386" s="4"/>
      <c r="S386" s="4"/>
      <c r="U386" s="6"/>
      <c r="X386" s="4"/>
      <c r="Y386" s="4"/>
    </row>
    <row r="387">
      <c r="C387" s="6"/>
      <c r="F387" s="6"/>
      <c r="M387" s="4"/>
      <c r="S387" s="4"/>
      <c r="U387" s="6"/>
      <c r="X387" s="4"/>
      <c r="Y387" s="4"/>
    </row>
    <row r="388">
      <c r="C388" s="6"/>
      <c r="F388" s="6"/>
      <c r="M388" s="4"/>
      <c r="S388" s="4"/>
      <c r="U388" s="6"/>
      <c r="X388" s="4"/>
      <c r="Y388" s="4"/>
    </row>
    <row r="389">
      <c r="C389" s="6"/>
      <c r="F389" s="6"/>
      <c r="M389" s="4"/>
      <c r="S389" s="4"/>
      <c r="U389" s="6"/>
      <c r="X389" s="4"/>
      <c r="Y389" s="4"/>
    </row>
    <row r="390">
      <c r="C390" s="6"/>
      <c r="F390" s="6"/>
      <c r="M390" s="4"/>
      <c r="S390" s="4"/>
      <c r="U390" s="6"/>
      <c r="X390" s="4"/>
      <c r="Y390" s="4"/>
    </row>
    <row r="391">
      <c r="C391" s="6"/>
      <c r="F391" s="6"/>
      <c r="M391" s="4"/>
      <c r="S391" s="4"/>
      <c r="U391" s="6"/>
      <c r="X391" s="4"/>
      <c r="Y391" s="4"/>
    </row>
    <row r="392">
      <c r="C392" s="6"/>
      <c r="F392" s="6"/>
      <c r="M392" s="4"/>
      <c r="S392" s="4"/>
      <c r="U392" s="6"/>
      <c r="X392" s="4"/>
      <c r="Y392" s="4"/>
    </row>
    <row r="393">
      <c r="C393" s="6"/>
      <c r="F393" s="6"/>
      <c r="M393" s="4"/>
      <c r="S393" s="4"/>
      <c r="U393" s="6"/>
      <c r="X393" s="4"/>
      <c r="Y393" s="4"/>
    </row>
    <row r="394">
      <c r="C394" s="6"/>
      <c r="F394" s="6"/>
      <c r="M394" s="4"/>
      <c r="S394" s="4"/>
      <c r="U394" s="6"/>
      <c r="X394" s="4"/>
      <c r="Y394" s="4"/>
    </row>
    <row r="395">
      <c r="C395" s="6"/>
      <c r="F395" s="6"/>
      <c r="M395" s="4"/>
      <c r="S395" s="4"/>
      <c r="U395" s="6"/>
      <c r="X395" s="4"/>
      <c r="Y395" s="4"/>
    </row>
    <row r="396">
      <c r="C396" s="6"/>
      <c r="F396" s="6"/>
      <c r="M396" s="4"/>
      <c r="S396" s="4"/>
      <c r="U396" s="6"/>
      <c r="X396" s="4"/>
      <c r="Y396" s="4"/>
    </row>
    <row r="397">
      <c r="C397" s="6"/>
      <c r="F397" s="6"/>
      <c r="M397" s="4"/>
      <c r="S397" s="4"/>
      <c r="U397" s="6"/>
      <c r="X397" s="4"/>
      <c r="Y397" s="4"/>
    </row>
    <row r="398">
      <c r="C398" s="6"/>
      <c r="F398" s="6"/>
      <c r="M398" s="4"/>
      <c r="S398" s="4"/>
      <c r="U398" s="6"/>
      <c r="X398" s="4"/>
      <c r="Y398" s="4"/>
    </row>
    <row r="399">
      <c r="C399" s="6"/>
      <c r="F399" s="6"/>
      <c r="M399" s="4"/>
      <c r="S399" s="4"/>
      <c r="U399" s="6"/>
      <c r="X399" s="4"/>
      <c r="Y399" s="4"/>
    </row>
    <row r="400">
      <c r="C400" s="6"/>
      <c r="F400" s="6"/>
      <c r="M400" s="4"/>
      <c r="S400" s="4"/>
      <c r="U400" s="6"/>
      <c r="X400" s="4"/>
      <c r="Y400" s="4"/>
    </row>
    <row r="401">
      <c r="C401" s="6"/>
      <c r="F401" s="6"/>
      <c r="M401" s="4"/>
      <c r="S401" s="4"/>
      <c r="U401" s="6"/>
      <c r="X401" s="4"/>
      <c r="Y401" s="4"/>
    </row>
    <row r="402">
      <c r="C402" s="6"/>
      <c r="F402" s="6"/>
      <c r="M402" s="4"/>
      <c r="S402" s="4"/>
      <c r="U402" s="6"/>
      <c r="X402" s="4"/>
      <c r="Y402" s="4"/>
    </row>
    <row r="403">
      <c r="C403" s="6"/>
      <c r="F403" s="6"/>
      <c r="M403" s="4"/>
      <c r="S403" s="4"/>
      <c r="U403" s="6"/>
      <c r="X403" s="4"/>
      <c r="Y403" s="4"/>
    </row>
    <row r="404">
      <c r="C404" s="6"/>
      <c r="F404" s="6"/>
      <c r="M404" s="4"/>
      <c r="S404" s="4"/>
      <c r="U404" s="6"/>
      <c r="X404" s="4"/>
      <c r="Y404" s="4"/>
    </row>
    <row r="405">
      <c r="C405" s="6"/>
      <c r="F405" s="6"/>
      <c r="M405" s="4"/>
      <c r="S405" s="4"/>
      <c r="U405" s="6"/>
      <c r="X405" s="4"/>
      <c r="Y405" s="4"/>
    </row>
    <row r="406">
      <c r="C406" s="6"/>
      <c r="F406" s="6"/>
      <c r="M406" s="4"/>
      <c r="S406" s="4"/>
      <c r="U406" s="6"/>
      <c r="X406" s="4"/>
      <c r="Y406" s="4"/>
    </row>
    <row r="407">
      <c r="C407" s="6"/>
      <c r="F407" s="6"/>
      <c r="M407" s="4"/>
      <c r="S407" s="4"/>
      <c r="U407" s="6"/>
      <c r="X407" s="4"/>
      <c r="Y407" s="4"/>
    </row>
    <row r="408">
      <c r="C408" s="6"/>
      <c r="F408" s="6"/>
      <c r="M408" s="4"/>
      <c r="S408" s="4"/>
      <c r="U408" s="6"/>
      <c r="X408" s="4"/>
      <c r="Y408" s="4"/>
    </row>
    <row r="409">
      <c r="C409" s="6"/>
      <c r="F409" s="6"/>
      <c r="M409" s="4"/>
      <c r="S409" s="4"/>
      <c r="U409" s="6"/>
      <c r="X409" s="4"/>
      <c r="Y409" s="4"/>
    </row>
    <row r="410">
      <c r="C410" s="6"/>
      <c r="F410" s="6"/>
      <c r="M410" s="4"/>
      <c r="S410" s="4"/>
      <c r="U410" s="6"/>
      <c r="X410" s="4"/>
      <c r="Y410" s="4"/>
    </row>
    <row r="411">
      <c r="C411" s="6"/>
      <c r="F411" s="6"/>
      <c r="M411" s="4"/>
      <c r="S411" s="4"/>
      <c r="U411" s="6"/>
      <c r="X411" s="4"/>
      <c r="Y411" s="4"/>
    </row>
    <row r="412">
      <c r="C412" s="6"/>
      <c r="F412" s="6"/>
      <c r="M412" s="4"/>
      <c r="S412" s="4"/>
      <c r="U412" s="6"/>
      <c r="X412" s="4"/>
      <c r="Y412" s="4"/>
    </row>
    <row r="413">
      <c r="C413" s="6"/>
      <c r="F413" s="6"/>
      <c r="M413" s="4"/>
      <c r="S413" s="4"/>
      <c r="U413" s="6"/>
      <c r="X413" s="4"/>
      <c r="Y413" s="4"/>
    </row>
    <row r="414">
      <c r="C414" s="6"/>
      <c r="F414" s="6"/>
      <c r="M414" s="4"/>
      <c r="S414" s="4"/>
      <c r="U414" s="6"/>
      <c r="X414" s="4"/>
      <c r="Y414" s="4"/>
    </row>
    <row r="415">
      <c r="C415" s="6"/>
      <c r="F415" s="6"/>
      <c r="M415" s="4"/>
      <c r="S415" s="4"/>
      <c r="U415" s="6"/>
      <c r="X415" s="4"/>
      <c r="Y415" s="4"/>
    </row>
    <row r="416">
      <c r="C416" s="6"/>
      <c r="F416" s="6"/>
      <c r="M416" s="4"/>
      <c r="S416" s="4"/>
      <c r="U416" s="6"/>
      <c r="X416" s="4"/>
      <c r="Y416" s="4"/>
    </row>
    <row r="417">
      <c r="C417" s="6"/>
      <c r="F417" s="6"/>
      <c r="M417" s="4"/>
      <c r="S417" s="4"/>
      <c r="U417" s="6"/>
      <c r="X417" s="4"/>
      <c r="Y417" s="4"/>
    </row>
    <row r="418">
      <c r="C418" s="6"/>
      <c r="F418" s="6"/>
      <c r="M418" s="4"/>
      <c r="S418" s="4"/>
      <c r="U418" s="6"/>
      <c r="X418" s="4"/>
      <c r="Y418" s="4"/>
    </row>
    <row r="419">
      <c r="C419" s="6"/>
      <c r="F419" s="6"/>
      <c r="M419" s="4"/>
      <c r="S419" s="4"/>
      <c r="U419" s="6"/>
      <c r="X419" s="4"/>
      <c r="Y419" s="4"/>
    </row>
    <row r="420">
      <c r="C420" s="6"/>
      <c r="F420" s="6"/>
      <c r="M420" s="4"/>
      <c r="S420" s="4"/>
      <c r="U420" s="6"/>
      <c r="X420" s="4"/>
      <c r="Y420" s="4"/>
    </row>
    <row r="421">
      <c r="C421" s="6"/>
      <c r="F421" s="6"/>
      <c r="M421" s="4"/>
      <c r="S421" s="4"/>
      <c r="U421" s="6"/>
      <c r="X421" s="4"/>
      <c r="Y421" s="4"/>
    </row>
    <row r="422">
      <c r="C422" s="6"/>
      <c r="F422" s="6"/>
      <c r="M422" s="4"/>
      <c r="S422" s="4"/>
      <c r="U422" s="6"/>
      <c r="X422" s="4"/>
      <c r="Y422" s="4"/>
    </row>
    <row r="423">
      <c r="C423" s="6"/>
      <c r="F423" s="6"/>
      <c r="M423" s="4"/>
      <c r="S423" s="4"/>
      <c r="U423" s="6"/>
      <c r="X423" s="4"/>
      <c r="Y423" s="4"/>
    </row>
    <row r="424">
      <c r="C424" s="6"/>
      <c r="F424" s="6"/>
      <c r="M424" s="4"/>
      <c r="S424" s="4"/>
      <c r="U424" s="6"/>
      <c r="X424" s="4"/>
      <c r="Y424" s="4"/>
    </row>
    <row r="425">
      <c r="C425" s="6"/>
      <c r="F425" s="6"/>
      <c r="M425" s="4"/>
      <c r="S425" s="4"/>
      <c r="U425" s="6"/>
      <c r="X425" s="4"/>
      <c r="Y425" s="4"/>
    </row>
    <row r="426">
      <c r="C426" s="6"/>
      <c r="F426" s="6"/>
      <c r="M426" s="4"/>
      <c r="S426" s="4"/>
      <c r="U426" s="6"/>
      <c r="X426" s="4"/>
      <c r="Y426" s="4"/>
    </row>
    <row r="427">
      <c r="C427" s="6"/>
      <c r="F427" s="6"/>
      <c r="M427" s="4"/>
      <c r="S427" s="4"/>
      <c r="U427" s="6"/>
      <c r="X427" s="4"/>
      <c r="Y427" s="4"/>
    </row>
    <row r="428">
      <c r="C428" s="6"/>
      <c r="F428" s="6"/>
      <c r="M428" s="4"/>
      <c r="S428" s="4"/>
      <c r="U428" s="6"/>
      <c r="X428" s="4"/>
      <c r="Y428" s="4"/>
    </row>
    <row r="429">
      <c r="C429" s="6"/>
      <c r="F429" s="6"/>
      <c r="M429" s="4"/>
      <c r="S429" s="4"/>
      <c r="U429" s="6"/>
      <c r="X429" s="4"/>
      <c r="Y429" s="4"/>
    </row>
    <row r="430">
      <c r="C430" s="6"/>
      <c r="F430" s="6"/>
      <c r="M430" s="4"/>
      <c r="S430" s="4"/>
      <c r="U430" s="6"/>
      <c r="X430" s="4"/>
      <c r="Y430" s="4"/>
    </row>
    <row r="431">
      <c r="C431" s="6"/>
      <c r="F431" s="6"/>
      <c r="M431" s="4"/>
      <c r="S431" s="4"/>
      <c r="U431" s="6"/>
      <c r="X431" s="4"/>
      <c r="Y431" s="4"/>
    </row>
    <row r="432">
      <c r="C432" s="6"/>
      <c r="F432" s="6"/>
      <c r="M432" s="4"/>
      <c r="S432" s="4"/>
      <c r="U432" s="6"/>
      <c r="X432" s="4"/>
      <c r="Y432" s="4"/>
    </row>
    <row r="433">
      <c r="C433" s="6"/>
      <c r="F433" s="6"/>
      <c r="M433" s="4"/>
      <c r="S433" s="4"/>
      <c r="U433" s="6"/>
      <c r="X433" s="4"/>
      <c r="Y433" s="4"/>
    </row>
    <row r="434">
      <c r="C434" s="6"/>
      <c r="F434" s="6"/>
      <c r="M434" s="4"/>
      <c r="S434" s="4"/>
      <c r="U434" s="6"/>
      <c r="X434" s="4"/>
      <c r="Y434" s="4"/>
    </row>
    <row r="435">
      <c r="C435" s="6"/>
      <c r="F435" s="6"/>
      <c r="M435" s="4"/>
      <c r="S435" s="4"/>
      <c r="U435" s="6"/>
      <c r="X435" s="4"/>
      <c r="Y435" s="4"/>
    </row>
    <row r="436">
      <c r="C436" s="6"/>
      <c r="F436" s="6"/>
      <c r="M436" s="4"/>
      <c r="S436" s="4"/>
      <c r="U436" s="6"/>
      <c r="X436" s="4"/>
      <c r="Y436" s="4"/>
    </row>
    <row r="437">
      <c r="C437" s="6"/>
      <c r="F437" s="6"/>
      <c r="M437" s="4"/>
      <c r="S437" s="4"/>
      <c r="U437" s="6"/>
      <c r="X437" s="4"/>
      <c r="Y437" s="4"/>
    </row>
    <row r="438">
      <c r="C438" s="6"/>
      <c r="F438" s="6"/>
      <c r="M438" s="4"/>
      <c r="S438" s="4"/>
      <c r="U438" s="6"/>
      <c r="X438" s="4"/>
      <c r="Y438" s="4"/>
    </row>
    <row r="439">
      <c r="C439" s="6"/>
      <c r="F439" s="6"/>
      <c r="M439" s="4"/>
      <c r="S439" s="4"/>
      <c r="U439" s="6"/>
      <c r="X439" s="4"/>
      <c r="Y439" s="4"/>
    </row>
    <row r="440">
      <c r="C440" s="6"/>
      <c r="F440" s="6"/>
      <c r="M440" s="4"/>
      <c r="S440" s="4"/>
      <c r="U440" s="6"/>
      <c r="X440" s="4"/>
      <c r="Y440" s="4"/>
    </row>
    <row r="441">
      <c r="C441" s="6"/>
      <c r="F441" s="6"/>
      <c r="M441" s="4"/>
      <c r="S441" s="4"/>
      <c r="U441" s="6"/>
      <c r="X441" s="4"/>
      <c r="Y441" s="4"/>
    </row>
    <row r="442">
      <c r="C442" s="6"/>
      <c r="F442" s="6"/>
      <c r="M442" s="4"/>
      <c r="S442" s="4"/>
      <c r="U442" s="6"/>
      <c r="X442" s="4"/>
      <c r="Y442" s="4"/>
    </row>
    <row r="443">
      <c r="C443" s="6"/>
      <c r="F443" s="6"/>
      <c r="M443" s="4"/>
      <c r="S443" s="4"/>
      <c r="U443" s="6"/>
      <c r="X443" s="4"/>
      <c r="Y443" s="4"/>
    </row>
    <row r="444">
      <c r="C444" s="6"/>
      <c r="F444" s="6"/>
      <c r="M444" s="4"/>
      <c r="S444" s="4"/>
      <c r="U444" s="6"/>
      <c r="X444" s="4"/>
      <c r="Y444" s="4"/>
    </row>
    <row r="445">
      <c r="C445" s="6"/>
      <c r="F445" s="6"/>
      <c r="M445" s="4"/>
      <c r="S445" s="4"/>
      <c r="U445" s="6"/>
      <c r="X445" s="4"/>
      <c r="Y445" s="4"/>
    </row>
    <row r="446">
      <c r="C446" s="6"/>
      <c r="F446" s="6"/>
      <c r="M446" s="4"/>
      <c r="S446" s="4"/>
      <c r="U446" s="6"/>
      <c r="X446" s="4"/>
      <c r="Y446" s="4"/>
    </row>
    <row r="447">
      <c r="C447" s="6"/>
      <c r="F447" s="6"/>
      <c r="M447" s="4"/>
      <c r="S447" s="4"/>
      <c r="U447" s="6"/>
      <c r="X447" s="4"/>
      <c r="Y447" s="4"/>
    </row>
    <row r="448">
      <c r="C448" s="6"/>
      <c r="F448" s="6"/>
      <c r="M448" s="4"/>
      <c r="S448" s="4"/>
      <c r="U448" s="6"/>
      <c r="X448" s="4"/>
      <c r="Y448" s="4"/>
    </row>
    <row r="449">
      <c r="C449" s="6"/>
      <c r="F449" s="6"/>
      <c r="M449" s="4"/>
      <c r="S449" s="4"/>
      <c r="U449" s="6"/>
      <c r="X449" s="4"/>
      <c r="Y449" s="4"/>
    </row>
    <row r="450">
      <c r="C450" s="6"/>
      <c r="F450" s="6"/>
      <c r="M450" s="4"/>
      <c r="S450" s="4"/>
      <c r="U450" s="6"/>
      <c r="X450" s="4"/>
      <c r="Y450" s="4"/>
    </row>
    <row r="451">
      <c r="C451" s="6"/>
      <c r="F451" s="6"/>
      <c r="M451" s="4"/>
      <c r="S451" s="4"/>
      <c r="U451" s="6"/>
      <c r="X451" s="4"/>
      <c r="Y451" s="4"/>
    </row>
    <row r="452">
      <c r="C452" s="6"/>
      <c r="F452" s="6"/>
      <c r="M452" s="4"/>
      <c r="S452" s="4"/>
      <c r="U452" s="6"/>
      <c r="X452" s="4"/>
      <c r="Y452" s="4"/>
    </row>
    <row r="453">
      <c r="C453" s="6"/>
      <c r="F453" s="6"/>
      <c r="M453" s="4"/>
      <c r="S453" s="4"/>
      <c r="U453" s="6"/>
      <c r="X453" s="4"/>
      <c r="Y453" s="4"/>
    </row>
    <row r="454">
      <c r="C454" s="6"/>
      <c r="F454" s="6"/>
      <c r="M454" s="4"/>
      <c r="S454" s="4"/>
      <c r="U454" s="6"/>
      <c r="X454" s="4"/>
      <c r="Y454" s="4"/>
    </row>
    <row r="455">
      <c r="C455" s="6"/>
      <c r="F455" s="6"/>
      <c r="M455" s="4"/>
      <c r="S455" s="4"/>
      <c r="U455" s="6"/>
      <c r="X455" s="4"/>
      <c r="Y455" s="4"/>
    </row>
    <row r="456">
      <c r="C456" s="6"/>
      <c r="F456" s="6"/>
      <c r="M456" s="4"/>
      <c r="S456" s="4"/>
      <c r="U456" s="6"/>
      <c r="X456" s="4"/>
      <c r="Y456" s="4"/>
    </row>
    <row r="457">
      <c r="C457" s="6"/>
      <c r="F457" s="6"/>
      <c r="M457" s="4"/>
      <c r="S457" s="4"/>
      <c r="U457" s="6"/>
      <c r="X457" s="4"/>
      <c r="Y457" s="4"/>
    </row>
    <row r="458">
      <c r="C458" s="6"/>
      <c r="F458" s="6"/>
      <c r="M458" s="4"/>
      <c r="S458" s="4"/>
      <c r="U458" s="6"/>
      <c r="X458" s="4"/>
      <c r="Y458" s="4"/>
    </row>
    <row r="459">
      <c r="C459" s="6"/>
      <c r="F459" s="6"/>
      <c r="M459" s="4"/>
      <c r="S459" s="4"/>
      <c r="U459" s="6"/>
      <c r="X459" s="4"/>
      <c r="Y459" s="4"/>
    </row>
    <row r="460">
      <c r="C460" s="6"/>
      <c r="F460" s="6"/>
      <c r="M460" s="4"/>
      <c r="S460" s="4"/>
      <c r="U460" s="6"/>
      <c r="X460" s="4"/>
      <c r="Y460" s="4"/>
    </row>
    <row r="461">
      <c r="C461" s="6"/>
      <c r="F461" s="6"/>
      <c r="M461" s="4"/>
      <c r="S461" s="4"/>
      <c r="U461" s="6"/>
      <c r="X461" s="4"/>
      <c r="Y461" s="4"/>
    </row>
    <row r="462">
      <c r="C462" s="6"/>
      <c r="F462" s="6"/>
      <c r="M462" s="4"/>
      <c r="S462" s="4"/>
      <c r="U462" s="6"/>
      <c r="X462" s="4"/>
      <c r="Y462" s="4"/>
    </row>
    <row r="463">
      <c r="C463" s="6"/>
      <c r="F463" s="6"/>
      <c r="M463" s="4"/>
      <c r="S463" s="4"/>
      <c r="U463" s="6"/>
      <c r="X463" s="4"/>
      <c r="Y463" s="4"/>
    </row>
    <row r="464">
      <c r="C464" s="6"/>
      <c r="F464" s="6"/>
      <c r="M464" s="4"/>
      <c r="S464" s="4"/>
      <c r="U464" s="6"/>
      <c r="X464" s="4"/>
      <c r="Y464" s="4"/>
    </row>
    <row r="465">
      <c r="C465" s="6"/>
      <c r="F465" s="6"/>
      <c r="M465" s="4"/>
      <c r="S465" s="4"/>
      <c r="U465" s="6"/>
      <c r="X465" s="4"/>
      <c r="Y465" s="4"/>
    </row>
    <row r="466">
      <c r="C466" s="6"/>
      <c r="F466" s="6"/>
      <c r="M466" s="4"/>
      <c r="S466" s="4"/>
      <c r="U466" s="6"/>
      <c r="X466" s="4"/>
      <c r="Y466" s="4"/>
    </row>
    <row r="467">
      <c r="C467" s="6"/>
      <c r="F467" s="6"/>
      <c r="M467" s="4"/>
      <c r="S467" s="4"/>
      <c r="U467" s="6"/>
      <c r="X467" s="4"/>
      <c r="Y467" s="4"/>
    </row>
    <row r="468">
      <c r="C468" s="6"/>
      <c r="F468" s="6"/>
      <c r="M468" s="4"/>
      <c r="S468" s="4"/>
      <c r="U468" s="6"/>
      <c r="X468" s="4"/>
      <c r="Y468" s="4"/>
    </row>
    <row r="469">
      <c r="C469" s="6"/>
      <c r="F469" s="6"/>
      <c r="M469" s="4"/>
      <c r="S469" s="4"/>
      <c r="U469" s="6"/>
      <c r="X469" s="4"/>
      <c r="Y469" s="4"/>
    </row>
    <row r="470">
      <c r="C470" s="6"/>
      <c r="F470" s="6"/>
      <c r="M470" s="4"/>
      <c r="S470" s="4"/>
      <c r="U470" s="6"/>
      <c r="X470" s="4"/>
      <c r="Y470" s="4"/>
    </row>
    <row r="471">
      <c r="C471" s="6"/>
      <c r="F471" s="6"/>
      <c r="M471" s="4"/>
      <c r="S471" s="4"/>
      <c r="U471" s="6"/>
      <c r="X471" s="4"/>
      <c r="Y471" s="4"/>
    </row>
    <row r="472">
      <c r="C472" s="6"/>
      <c r="F472" s="6"/>
      <c r="M472" s="4"/>
      <c r="S472" s="4"/>
      <c r="U472" s="6"/>
      <c r="X472" s="4"/>
      <c r="Y472" s="4"/>
    </row>
    <row r="473">
      <c r="C473" s="6"/>
      <c r="F473" s="6"/>
      <c r="M473" s="4"/>
      <c r="S473" s="4"/>
      <c r="U473" s="6"/>
      <c r="X473" s="4"/>
      <c r="Y473" s="4"/>
    </row>
    <row r="474">
      <c r="C474" s="6"/>
      <c r="F474" s="6"/>
      <c r="M474" s="4"/>
      <c r="S474" s="4"/>
      <c r="U474" s="6"/>
      <c r="X474" s="4"/>
      <c r="Y474" s="4"/>
    </row>
    <row r="475">
      <c r="C475" s="6"/>
      <c r="F475" s="6"/>
      <c r="M475" s="4"/>
      <c r="S475" s="4"/>
      <c r="U475" s="6"/>
      <c r="X475" s="4"/>
      <c r="Y475" s="4"/>
    </row>
    <row r="476">
      <c r="C476" s="6"/>
      <c r="F476" s="6"/>
      <c r="M476" s="4"/>
      <c r="S476" s="4"/>
      <c r="U476" s="6"/>
      <c r="X476" s="4"/>
      <c r="Y476" s="4"/>
    </row>
    <row r="477">
      <c r="C477" s="6"/>
      <c r="F477" s="6"/>
      <c r="M477" s="4"/>
      <c r="S477" s="4"/>
      <c r="U477" s="6"/>
      <c r="X477" s="4"/>
      <c r="Y477" s="4"/>
    </row>
    <row r="478">
      <c r="C478" s="6"/>
      <c r="F478" s="6"/>
      <c r="M478" s="4"/>
      <c r="S478" s="4"/>
      <c r="U478" s="6"/>
      <c r="X478" s="4"/>
      <c r="Y478" s="4"/>
    </row>
    <row r="479">
      <c r="C479" s="6"/>
      <c r="F479" s="6"/>
      <c r="M479" s="4"/>
      <c r="S479" s="4"/>
      <c r="U479" s="6"/>
      <c r="X479" s="4"/>
      <c r="Y479" s="4"/>
    </row>
    <row r="480">
      <c r="C480" s="6"/>
      <c r="F480" s="6"/>
      <c r="M480" s="4"/>
      <c r="S480" s="4"/>
      <c r="U480" s="6"/>
      <c r="X480" s="4"/>
      <c r="Y480" s="4"/>
    </row>
    <row r="481">
      <c r="C481" s="6"/>
      <c r="F481" s="6"/>
      <c r="M481" s="4"/>
      <c r="S481" s="4"/>
      <c r="U481" s="6"/>
      <c r="X481" s="4"/>
      <c r="Y481" s="4"/>
    </row>
    <row r="482">
      <c r="C482" s="6"/>
      <c r="F482" s="6"/>
      <c r="M482" s="4"/>
      <c r="S482" s="4"/>
      <c r="U482" s="6"/>
      <c r="X482" s="4"/>
      <c r="Y482" s="4"/>
    </row>
    <row r="483">
      <c r="C483" s="6"/>
      <c r="F483" s="6"/>
      <c r="M483" s="4"/>
      <c r="S483" s="4"/>
      <c r="U483" s="6"/>
      <c r="X483" s="4"/>
      <c r="Y483" s="4"/>
    </row>
    <row r="484">
      <c r="C484" s="6"/>
      <c r="F484" s="6"/>
      <c r="M484" s="4"/>
      <c r="S484" s="4"/>
      <c r="U484" s="6"/>
      <c r="X484" s="4"/>
      <c r="Y484" s="4"/>
    </row>
    <row r="485">
      <c r="C485" s="6"/>
      <c r="F485" s="6"/>
      <c r="M485" s="4"/>
      <c r="S485" s="4"/>
      <c r="U485" s="6"/>
      <c r="X485" s="4"/>
      <c r="Y485" s="4"/>
    </row>
    <row r="486">
      <c r="C486" s="6"/>
      <c r="F486" s="6"/>
      <c r="M486" s="4"/>
      <c r="S486" s="4"/>
      <c r="U486" s="6"/>
      <c r="X486" s="4"/>
      <c r="Y486" s="4"/>
    </row>
    <row r="487">
      <c r="C487" s="6"/>
      <c r="F487" s="6"/>
      <c r="M487" s="4"/>
      <c r="S487" s="4"/>
      <c r="U487" s="6"/>
      <c r="X487" s="4"/>
      <c r="Y487" s="4"/>
    </row>
    <row r="488">
      <c r="C488" s="6"/>
      <c r="F488" s="6"/>
      <c r="M488" s="4"/>
      <c r="S488" s="4"/>
      <c r="U488" s="6"/>
      <c r="X488" s="4"/>
      <c r="Y488" s="4"/>
    </row>
    <row r="489">
      <c r="C489" s="6"/>
      <c r="F489" s="6"/>
      <c r="M489" s="4"/>
      <c r="S489" s="4"/>
      <c r="U489" s="6"/>
      <c r="X489" s="4"/>
      <c r="Y489" s="4"/>
    </row>
    <row r="490">
      <c r="C490" s="6"/>
      <c r="F490" s="6"/>
      <c r="M490" s="4"/>
      <c r="S490" s="4"/>
      <c r="U490" s="6"/>
      <c r="X490" s="4"/>
      <c r="Y490" s="4"/>
    </row>
    <row r="491">
      <c r="C491" s="6"/>
      <c r="F491" s="6"/>
      <c r="M491" s="4"/>
      <c r="S491" s="4"/>
      <c r="U491" s="6"/>
      <c r="X491" s="4"/>
      <c r="Y491" s="4"/>
    </row>
    <row r="492">
      <c r="C492" s="6"/>
      <c r="F492" s="6"/>
      <c r="M492" s="4"/>
      <c r="S492" s="4"/>
      <c r="U492" s="6"/>
      <c r="X492" s="4"/>
      <c r="Y492" s="4"/>
    </row>
    <row r="493">
      <c r="C493" s="6"/>
      <c r="F493" s="6"/>
      <c r="M493" s="4"/>
      <c r="S493" s="4"/>
      <c r="U493" s="6"/>
      <c r="X493" s="4"/>
      <c r="Y493" s="4"/>
    </row>
    <row r="494">
      <c r="C494" s="6"/>
      <c r="F494" s="6"/>
      <c r="M494" s="4"/>
      <c r="S494" s="4"/>
      <c r="U494" s="6"/>
      <c r="X494" s="4"/>
      <c r="Y494" s="4"/>
    </row>
    <row r="495">
      <c r="C495" s="6"/>
      <c r="F495" s="6"/>
      <c r="M495" s="4"/>
      <c r="S495" s="4"/>
      <c r="U495" s="6"/>
      <c r="X495" s="4"/>
      <c r="Y495" s="4"/>
    </row>
    <row r="496">
      <c r="C496" s="6"/>
      <c r="F496" s="6"/>
      <c r="M496" s="4"/>
      <c r="S496" s="4"/>
      <c r="U496" s="6"/>
      <c r="X496" s="4"/>
      <c r="Y496" s="4"/>
    </row>
    <row r="497">
      <c r="C497" s="6"/>
      <c r="F497" s="6"/>
      <c r="M497" s="4"/>
      <c r="S497" s="4"/>
      <c r="U497" s="6"/>
      <c r="X497" s="4"/>
      <c r="Y497" s="4"/>
    </row>
    <row r="498">
      <c r="C498" s="6"/>
      <c r="F498" s="6"/>
      <c r="M498" s="4"/>
      <c r="S498" s="4"/>
      <c r="U498" s="6"/>
      <c r="X498" s="4"/>
      <c r="Y498" s="4"/>
    </row>
    <row r="499">
      <c r="C499" s="6"/>
      <c r="F499" s="6"/>
      <c r="M499" s="4"/>
      <c r="S499" s="4"/>
      <c r="U499" s="6"/>
      <c r="X499" s="4"/>
      <c r="Y499" s="4"/>
    </row>
    <row r="500">
      <c r="C500" s="6"/>
      <c r="F500" s="6"/>
      <c r="M500" s="4"/>
      <c r="S500" s="4"/>
      <c r="U500" s="6"/>
      <c r="X500" s="4"/>
      <c r="Y500" s="4"/>
    </row>
    <row r="501">
      <c r="C501" s="6"/>
      <c r="F501" s="6"/>
      <c r="M501" s="4"/>
      <c r="S501" s="4"/>
      <c r="U501" s="6"/>
      <c r="X501" s="4"/>
      <c r="Y501" s="4"/>
    </row>
    <row r="502">
      <c r="C502" s="6"/>
      <c r="F502" s="6"/>
      <c r="M502" s="4"/>
      <c r="S502" s="4"/>
      <c r="U502" s="6"/>
      <c r="X502" s="4"/>
      <c r="Y502" s="4"/>
    </row>
    <row r="503">
      <c r="C503" s="6"/>
      <c r="F503" s="6"/>
      <c r="M503" s="4"/>
      <c r="S503" s="4"/>
      <c r="U503" s="6"/>
      <c r="X503" s="4"/>
      <c r="Y503" s="4"/>
    </row>
    <row r="504">
      <c r="C504" s="6"/>
      <c r="F504" s="6"/>
      <c r="M504" s="4"/>
      <c r="S504" s="4"/>
      <c r="U504" s="6"/>
      <c r="X504" s="4"/>
      <c r="Y504" s="4"/>
    </row>
    <row r="505">
      <c r="C505" s="6"/>
      <c r="F505" s="6"/>
      <c r="M505" s="4"/>
      <c r="S505" s="4"/>
      <c r="U505" s="6"/>
      <c r="X505" s="4"/>
      <c r="Y505" s="4"/>
    </row>
    <row r="506">
      <c r="C506" s="6"/>
      <c r="F506" s="6"/>
      <c r="M506" s="4"/>
      <c r="S506" s="4"/>
      <c r="U506" s="6"/>
      <c r="X506" s="4"/>
      <c r="Y506" s="4"/>
    </row>
    <row r="507">
      <c r="C507" s="6"/>
      <c r="F507" s="6"/>
      <c r="M507" s="4"/>
      <c r="S507" s="4"/>
      <c r="U507" s="6"/>
      <c r="X507" s="4"/>
      <c r="Y507" s="4"/>
    </row>
    <row r="508">
      <c r="C508" s="6"/>
      <c r="F508" s="6"/>
      <c r="M508" s="4"/>
      <c r="S508" s="4"/>
      <c r="U508" s="6"/>
      <c r="X508" s="4"/>
      <c r="Y508" s="4"/>
    </row>
    <row r="509">
      <c r="C509" s="6"/>
      <c r="F509" s="6"/>
      <c r="M509" s="4"/>
      <c r="S509" s="4"/>
      <c r="U509" s="6"/>
      <c r="X509" s="4"/>
      <c r="Y509" s="4"/>
    </row>
    <row r="510">
      <c r="C510" s="6"/>
      <c r="F510" s="6"/>
      <c r="M510" s="4"/>
      <c r="S510" s="4"/>
      <c r="U510" s="6"/>
      <c r="X510" s="4"/>
      <c r="Y510" s="4"/>
    </row>
    <row r="511">
      <c r="C511" s="6"/>
      <c r="F511" s="6"/>
      <c r="M511" s="4"/>
      <c r="S511" s="4"/>
      <c r="U511" s="6"/>
      <c r="X511" s="4"/>
      <c r="Y511" s="4"/>
    </row>
    <row r="512">
      <c r="C512" s="6"/>
      <c r="F512" s="6"/>
      <c r="M512" s="4"/>
      <c r="S512" s="4"/>
      <c r="U512" s="6"/>
      <c r="X512" s="4"/>
      <c r="Y512" s="4"/>
    </row>
    <row r="513">
      <c r="C513" s="6"/>
      <c r="F513" s="6"/>
      <c r="M513" s="4"/>
      <c r="S513" s="4"/>
      <c r="U513" s="6"/>
      <c r="X513" s="4"/>
      <c r="Y513" s="4"/>
    </row>
    <row r="514">
      <c r="C514" s="6"/>
      <c r="F514" s="6"/>
      <c r="M514" s="4"/>
      <c r="S514" s="4"/>
      <c r="U514" s="6"/>
      <c r="X514" s="4"/>
      <c r="Y514" s="4"/>
    </row>
    <row r="515">
      <c r="C515" s="6"/>
      <c r="F515" s="6"/>
      <c r="M515" s="4"/>
      <c r="S515" s="4"/>
      <c r="U515" s="6"/>
      <c r="X515" s="4"/>
      <c r="Y515" s="4"/>
    </row>
    <row r="516">
      <c r="C516" s="6"/>
      <c r="F516" s="6"/>
      <c r="M516" s="4"/>
      <c r="S516" s="4"/>
      <c r="U516" s="6"/>
      <c r="X516" s="4"/>
      <c r="Y516" s="4"/>
    </row>
    <row r="517">
      <c r="C517" s="6"/>
      <c r="F517" s="6"/>
      <c r="M517" s="4"/>
      <c r="S517" s="4"/>
      <c r="U517" s="6"/>
      <c r="X517" s="4"/>
      <c r="Y517" s="4"/>
    </row>
    <row r="518">
      <c r="C518" s="6"/>
      <c r="F518" s="6"/>
      <c r="M518" s="4"/>
      <c r="S518" s="4"/>
      <c r="U518" s="6"/>
      <c r="X518" s="4"/>
      <c r="Y518" s="4"/>
    </row>
    <row r="519">
      <c r="C519" s="6"/>
      <c r="F519" s="6"/>
      <c r="M519" s="4"/>
      <c r="S519" s="4"/>
      <c r="U519" s="6"/>
      <c r="X519" s="4"/>
      <c r="Y519" s="4"/>
    </row>
    <row r="520">
      <c r="C520" s="6"/>
      <c r="F520" s="6"/>
      <c r="M520" s="4"/>
      <c r="S520" s="4"/>
      <c r="U520" s="6"/>
      <c r="X520" s="4"/>
      <c r="Y520" s="4"/>
    </row>
    <row r="521">
      <c r="C521" s="6"/>
      <c r="F521" s="6"/>
      <c r="M521" s="4"/>
      <c r="S521" s="4"/>
      <c r="U521" s="6"/>
      <c r="X521" s="4"/>
      <c r="Y521" s="4"/>
    </row>
    <row r="522">
      <c r="C522" s="6"/>
      <c r="F522" s="6"/>
      <c r="M522" s="4"/>
      <c r="S522" s="4"/>
      <c r="U522" s="6"/>
      <c r="X522" s="4"/>
      <c r="Y522" s="4"/>
    </row>
    <row r="523">
      <c r="C523" s="6"/>
      <c r="F523" s="6"/>
      <c r="M523" s="4"/>
      <c r="S523" s="4"/>
      <c r="U523" s="6"/>
      <c r="X523" s="4"/>
      <c r="Y523" s="4"/>
    </row>
    <row r="524">
      <c r="C524" s="6"/>
      <c r="F524" s="6"/>
      <c r="M524" s="4"/>
      <c r="S524" s="4"/>
      <c r="U524" s="6"/>
      <c r="X524" s="4"/>
      <c r="Y524" s="4"/>
    </row>
    <row r="525">
      <c r="C525" s="6"/>
      <c r="F525" s="6"/>
      <c r="M525" s="4"/>
      <c r="S525" s="4"/>
      <c r="U525" s="6"/>
      <c r="X525" s="4"/>
      <c r="Y525" s="4"/>
    </row>
    <row r="526">
      <c r="C526" s="6"/>
      <c r="F526" s="6"/>
      <c r="M526" s="4"/>
      <c r="S526" s="4"/>
      <c r="U526" s="6"/>
      <c r="X526" s="4"/>
      <c r="Y526" s="4"/>
    </row>
    <row r="527">
      <c r="C527" s="6"/>
      <c r="F527" s="6"/>
      <c r="M527" s="4"/>
      <c r="S527" s="4"/>
      <c r="U527" s="6"/>
      <c r="X527" s="4"/>
      <c r="Y527" s="4"/>
    </row>
    <row r="528">
      <c r="C528" s="6"/>
      <c r="F528" s="6"/>
      <c r="M528" s="4"/>
      <c r="S528" s="4"/>
      <c r="U528" s="6"/>
      <c r="X528" s="4"/>
      <c r="Y528" s="4"/>
    </row>
    <row r="529">
      <c r="C529" s="6"/>
      <c r="F529" s="6"/>
      <c r="M529" s="4"/>
      <c r="S529" s="4"/>
      <c r="U529" s="6"/>
      <c r="X529" s="4"/>
      <c r="Y529" s="4"/>
    </row>
    <row r="530">
      <c r="C530" s="6"/>
      <c r="F530" s="6"/>
      <c r="M530" s="4"/>
      <c r="S530" s="4"/>
      <c r="U530" s="6"/>
      <c r="X530" s="4"/>
      <c r="Y530" s="4"/>
    </row>
    <row r="531">
      <c r="C531" s="6"/>
      <c r="F531" s="6"/>
      <c r="M531" s="4"/>
      <c r="S531" s="4"/>
      <c r="U531" s="6"/>
      <c r="X531" s="4"/>
      <c r="Y531" s="4"/>
    </row>
    <row r="532">
      <c r="C532" s="6"/>
      <c r="F532" s="6"/>
      <c r="M532" s="4"/>
      <c r="S532" s="4"/>
      <c r="U532" s="6"/>
      <c r="X532" s="4"/>
      <c r="Y532" s="4"/>
    </row>
    <row r="533">
      <c r="C533" s="6"/>
      <c r="F533" s="6"/>
      <c r="M533" s="4"/>
      <c r="S533" s="4"/>
      <c r="U533" s="6"/>
      <c r="X533" s="4"/>
      <c r="Y533" s="4"/>
    </row>
    <row r="534">
      <c r="C534" s="6"/>
      <c r="F534" s="6"/>
      <c r="M534" s="4"/>
      <c r="S534" s="4"/>
      <c r="U534" s="6"/>
      <c r="X534" s="4"/>
      <c r="Y534" s="4"/>
    </row>
    <row r="535">
      <c r="C535" s="6"/>
      <c r="F535" s="6"/>
      <c r="M535" s="4"/>
      <c r="S535" s="4"/>
      <c r="U535" s="6"/>
      <c r="X535" s="4"/>
      <c r="Y535" s="4"/>
    </row>
    <row r="536">
      <c r="C536" s="6"/>
      <c r="F536" s="6"/>
      <c r="M536" s="4"/>
      <c r="S536" s="4"/>
      <c r="U536" s="6"/>
      <c r="X536" s="4"/>
      <c r="Y536" s="4"/>
    </row>
    <row r="537">
      <c r="C537" s="6"/>
      <c r="F537" s="6"/>
      <c r="M537" s="4"/>
      <c r="S537" s="4"/>
      <c r="U537" s="6"/>
      <c r="X537" s="4"/>
      <c r="Y537" s="4"/>
    </row>
    <row r="538">
      <c r="C538" s="6"/>
      <c r="F538" s="6"/>
      <c r="M538" s="4"/>
      <c r="S538" s="4"/>
      <c r="U538" s="6"/>
      <c r="X538" s="4"/>
      <c r="Y538" s="4"/>
    </row>
    <row r="539">
      <c r="C539" s="6"/>
      <c r="F539" s="6"/>
      <c r="M539" s="4"/>
      <c r="S539" s="4"/>
      <c r="U539" s="6"/>
      <c r="X539" s="4"/>
      <c r="Y539" s="4"/>
    </row>
    <row r="540">
      <c r="C540" s="6"/>
      <c r="F540" s="6"/>
      <c r="M540" s="4"/>
      <c r="S540" s="4"/>
      <c r="U540" s="6"/>
      <c r="X540" s="4"/>
      <c r="Y540" s="4"/>
    </row>
    <row r="541">
      <c r="C541" s="6"/>
      <c r="F541" s="6"/>
      <c r="M541" s="4"/>
      <c r="S541" s="4"/>
      <c r="U541" s="6"/>
      <c r="X541" s="4"/>
      <c r="Y541" s="4"/>
    </row>
    <row r="542">
      <c r="C542" s="6"/>
      <c r="F542" s="6"/>
      <c r="M542" s="4"/>
      <c r="S542" s="4"/>
      <c r="U542" s="6"/>
      <c r="X542" s="4"/>
      <c r="Y542" s="4"/>
    </row>
    <row r="543">
      <c r="C543" s="6"/>
      <c r="F543" s="6"/>
      <c r="M543" s="4"/>
      <c r="S543" s="4"/>
      <c r="U543" s="6"/>
      <c r="X543" s="4"/>
      <c r="Y543" s="4"/>
    </row>
    <row r="544">
      <c r="C544" s="6"/>
      <c r="F544" s="6"/>
      <c r="M544" s="4"/>
      <c r="S544" s="4"/>
      <c r="U544" s="6"/>
      <c r="X544" s="4"/>
      <c r="Y544" s="4"/>
    </row>
    <row r="545">
      <c r="C545" s="6"/>
      <c r="F545" s="6"/>
      <c r="M545" s="4"/>
      <c r="S545" s="4"/>
      <c r="U545" s="6"/>
      <c r="X545" s="4"/>
      <c r="Y545" s="4"/>
    </row>
    <row r="546">
      <c r="C546" s="6"/>
      <c r="F546" s="6"/>
      <c r="M546" s="4"/>
      <c r="S546" s="4"/>
      <c r="U546" s="6"/>
      <c r="X546" s="4"/>
      <c r="Y546" s="4"/>
    </row>
    <row r="547">
      <c r="C547" s="6"/>
      <c r="F547" s="6"/>
      <c r="M547" s="4"/>
      <c r="S547" s="4"/>
      <c r="U547" s="6"/>
      <c r="X547" s="4"/>
      <c r="Y547" s="4"/>
    </row>
    <row r="548">
      <c r="C548" s="6"/>
      <c r="F548" s="6"/>
      <c r="M548" s="4"/>
      <c r="S548" s="4"/>
      <c r="U548" s="6"/>
      <c r="X548" s="4"/>
      <c r="Y548" s="4"/>
    </row>
    <row r="549">
      <c r="C549" s="6"/>
      <c r="F549" s="6"/>
      <c r="M549" s="4"/>
      <c r="S549" s="4"/>
      <c r="U549" s="6"/>
      <c r="X549" s="4"/>
      <c r="Y549" s="4"/>
    </row>
    <row r="550">
      <c r="C550" s="6"/>
      <c r="F550" s="6"/>
      <c r="M550" s="4"/>
      <c r="S550" s="4"/>
      <c r="U550" s="6"/>
      <c r="X550" s="4"/>
      <c r="Y550" s="4"/>
    </row>
    <row r="551">
      <c r="C551" s="6"/>
      <c r="F551" s="6"/>
      <c r="M551" s="4"/>
      <c r="S551" s="4"/>
      <c r="U551" s="6"/>
      <c r="X551" s="4"/>
      <c r="Y551" s="4"/>
    </row>
    <row r="552">
      <c r="C552" s="6"/>
      <c r="F552" s="6"/>
      <c r="M552" s="4"/>
      <c r="S552" s="4"/>
      <c r="U552" s="6"/>
      <c r="X552" s="4"/>
      <c r="Y552" s="4"/>
    </row>
    <row r="553">
      <c r="C553" s="6"/>
      <c r="F553" s="6"/>
      <c r="M553" s="4"/>
      <c r="S553" s="4"/>
      <c r="U553" s="6"/>
      <c r="X553" s="4"/>
      <c r="Y553" s="4"/>
    </row>
    <row r="554">
      <c r="C554" s="6"/>
      <c r="F554" s="6"/>
      <c r="M554" s="4"/>
      <c r="S554" s="4"/>
      <c r="U554" s="6"/>
      <c r="X554" s="4"/>
      <c r="Y554" s="4"/>
    </row>
    <row r="555">
      <c r="C555" s="6"/>
      <c r="F555" s="6"/>
      <c r="M555" s="4"/>
      <c r="S555" s="4"/>
      <c r="U555" s="6"/>
      <c r="X555" s="4"/>
      <c r="Y555" s="4"/>
    </row>
    <row r="556">
      <c r="C556" s="6"/>
      <c r="F556" s="6"/>
      <c r="M556" s="4"/>
      <c r="S556" s="4"/>
      <c r="U556" s="6"/>
      <c r="X556" s="4"/>
      <c r="Y556" s="4"/>
    </row>
    <row r="557">
      <c r="C557" s="6"/>
      <c r="F557" s="6"/>
      <c r="M557" s="4"/>
      <c r="S557" s="4"/>
      <c r="U557" s="6"/>
      <c r="X557" s="4"/>
      <c r="Y557" s="4"/>
    </row>
    <row r="558">
      <c r="C558" s="6"/>
      <c r="F558" s="6"/>
      <c r="M558" s="4"/>
      <c r="S558" s="4"/>
      <c r="U558" s="6"/>
      <c r="X558" s="4"/>
      <c r="Y558" s="4"/>
    </row>
    <row r="559">
      <c r="C559" s="6"/>
      <c r="F559" s="6"/>
      <c r="M559" s="4"/>
      <c r="S559" s="4"/>
      <c r="U559" s="6"/>
      <c r="X559" s="4"/>
      <c r="Y559" s="4"/>
    </row>
    <row r="560">
      <c r="C560" s="6"/>
      <c r="F560" s="6"/>
      <c r="M560" s="4"/>
      <c r="S560" s="4"/>
      <c r="U560" s="6"/>
      <c r="X560" s="4"/>
      <c r="Y560" s="4"/>
    </row>
    <row r="561">
      <c r="C561" s="6"/>
      <c r="F561" s="6"/>
      <c r="M561" s="4"/>
      <c r="S561" s="4"/>
      <c r="U561" s="6"/>
      <c r="X561" s="4"/>
      <c r="Y561" s="4"/>
    </row>
    <row r="562">
      <c r="C562" s="6"/>
      <c r="F562" s="6"/>
      <c r="M562" s="4"/>
      <c r="S562" s="4"/>
      <c r="U562" s="6"/>
      <c r="X562" s="4"/>
      <c r="Y562" s="4"/>
    </row>
    <row r="563">
      <c r="C563" s="6"/>
      <c r="F563" s="6"/>
      <c r="M563" s="4"/>
      <c r="S563" s="4"/>
      <c r="U563" s="6"/>
      <c r="X563" s="4"/>
      <c r="Y563" s="4"/>
    </row>
    <row r="564">
      <c r="C564" s="6"/>
      <c r="F564" s="6"/>
      <c r="M564" s="4"/>
      <c r="S564" s="4"/>
      <c r="U564" s="6"/>
      <c r="X564" s="4"/>
      <c r="Y564" s="4"/>
    </row>
    <row r="565">
      <c r="C565" s="6"/>
      <c r="F565" s="6"/>
      <c r="M565" s="4"/>
      <c r="S565" s="4"/>
      <c r="U565" s="6"/>
      <c r="X565" s="4"/>
      <c r="Y565" s="4"/>
    </row>
    <row r="566">
      <c r="C566" s="6"/>
      <c r="F566" s="6"/>
      <c r="M566" s="4"/>
      <c r="S566" s="4"/>
      <c r="U566" s="6"/>
      <c r="X566" s="4"/>
      <c r="Y566" s="4"/>
    </row>
    <row r="567">
      <c r="C567" s="6"/>
      <c r="F567" s="6"/>
      <c r="M567" s="4"/>
      <c r="S567" s="4"/>
      <c r="U567" s="6"/>
      <c r="X567" s="4"/>
      <c r="Y567" s="4"/>
    </row>
    <row r="568">
      <c r="C568" s="6"/>
      <c r="F568" s="6"/>
      <c r="M568" s="4"/>
      <c r="S568" s="4"/>
      <c r="U568" s="6"/>
      <c r="X568" s="4"/>
      <c r="Y568" s="4"/>
    </row>
    <row r="569">
      <c r="C569" s="6"/>
      <c r="F569" s="6"/>
      <c r="M569" s="4"/>
      <c r="S569" s="4"/>
      <c r="U569" s="6"/>
      <c r="X569" s="4"/>
      <c r="Y569" s="4"/>
    </row>
    <row r="570">
      <c r="C570" s="6"/>
      <c r="F570" s="6"/>
      <c r="M570" s="4"/>
      <c r="S570" s="4"/>
      <c r="U570" s="6"/>
      <c r="X570" s="4"/>
      <c r="Y570" s="4"/>
    </row>
    <row r="571">
      <c r="C571" s="6"/>
      <c r="F571" s="6"/>
      <c r="M571" s="4"/>
      <c r="S571" s="4"/>
      <c r="U571" s="6"/>
      <c r="X571" s="4"/>
      <c r="Y571" s="4"/>
    </row>
    <row r="572">
      <c r="C572" s="6"/>
      <c r="F572" s="6"/>
      <c r="M572" s="4"/>
      <c r="S572" s="4"/>
      <c r="U572" s="6"/>
      <c r="X572" s="4"/>
      <c r="Y572" s="4"/>
    </row>
    <row r="573">
      <c r="C573" s="6"/>
      <c r="F573" s="6"/>
      <c r="M573" s="4"/>
      <c r="S573" s="4"/>
      <c r="U573" s="6"/>
      <c r="X573" s="4"/>
      <c r="Y573" s="4"/>
    </row>
    <row r="574">
      <c r="C574" s="6"/>
      <c r="F574" s="6"/>
      <c r="M574" s="4"/>
      <c r="S574" s="4"/>
      <c r="U574" s="6"/>
      <c r="X574" s="4"/>
      <c r="Y574" s="4"/>
    </row>
    <row r="575">
      <c r="C575" s="6"/>
      <c r="F575" s="6"/>
      <c r="M575" s="4"/>
      <c r="S575" s="4"/>
      <c r="U575" s="6"/>
      <c r="X575" s="4"/>
      <c r="Y575" s="4"/>
    </row>
    <row r="576">
      <c r="C576" s="6"/>
      <c r="F576" s="6"/>
      <c r="M576" s="4"/>
      <c r="S576" s="4"/>
      <c r="U576" s="6"/>
      <c r="X576" s="4"/>
      <c r="Y576" s="4"/>
    </row>
    <row r="577">
      <c r="C577" s="6"/>
      <c r="F577" s="6"/>
      <c r="M577" s="4"/>
      <c r="S577" s="4"/>
      <c r="U577" s="6"/>
      <c r="X577" s="4"/>
      <c r="Y577" s="4"/>
    </row>
    <row r="578">
      <c r="C578" s="6"/>
      <c r="F578" s="6"/>
      <c r="M578" s="4"/>
      <c r="S578" s="4"/>
      <c r="U578" s="6"/>
      <c r="X578" s="4"/>
      <c r="Y578" s="4"/>
    </row>
    <row r="579">
      <c r="C579" s="6"/>
      <c r="F579" s="6"/>
      <c r="M579" s="4"/>
      <c r="S579" s="4"/>
      <c r="U579" s="6"/>
      <c r="X579" s="4"/>
      <c r="Y579" s="4"/>
    </row>
    <row r="580">
      <c r="C580" s="6"/>
      <c r="F580" s="6"/>
      <c r="M580" s="4"/>
      <c r="S580" s="4"/>
      <c r="U580" s="6"/>
      <c r="X580" s="4"/>
      <c r="Y580" s="4"/>
    </row>
    <row r="581">
      <c r="C581" s="6"/>
      <c r="F581" s="6"/>
      <c r="M581" s="4"/>
      <c r="S581" s="4"/>
      <c r="U581" s="6"/>
      <c r="X581" s="4"/>
      <c r="Y581" s="4"/>
    </row>
    <row r="582">
      <c r="C582" s="6"/>
      <c r="F582" s="6"/>
      <c r="M582" s="4"/>
      <c r="S582" s="4"/>
      <c r="U582" s="6"/>
      <c r="X582" s="4"/>
      <c r="Y582" s="4"/>
    </row>
    <row r="583">
      <c r="C583" s="6"/>
      <c r="F583" s="6"/>
      <c r="M583" s="4"/>
      <c r="S583" s="4"/>
      <c r="U583" s="6"/>
      <c r="X583" s="4"/>
      <c r="Y583" s="4"/>
    </row>
    <row r="584">
      <c r="C584" s="6"/>
      <c r="F584" s="6"/>
      <c r="M584" s="4"/>
      <c r="S584" s="4"/>
      <c r="U584" s="6"/>
      <c r="X584" s="4"/>
      <c r="Y584" s="4"/>
    </row>
    <row r="585">
      <c r="C585" s="6"/>
      <c r="F585" s="6"/>
      <c r="M585" s="4"/>
      <c r="S585" s="4"/>
      <c r="U585" s="6"/>
      <c r="X585" s="4"/>
      <c r="Y585" s="4"/>
    </row>
    <row r="586">
      <c r="C586" s="6"/>
      <c r="F586" s="6"/>
      <c r="M586" s="4"/>
      <c r="S586" s="4"/>
      <c r="U586" s="6"/>
      <c r="X586" s="4"/>
      <c r="Y586" s="4"/>
    </row>
    <row r="587">
      <c r="C587" s="6"/>
      <c r="F587" s="6"/>
      <c r="M587" s="4"/>
      <c r="S587" s="4"/>
      <c r="U587" s="6"/>
      <c r="X587" s="4"/>
      <c r="Y587" s="4"/>
    </row>
    <row r="588">
      <c r="C588" s="6"/>
      <c r="F588" s="6"/>
      <c r="M588" s="4"/>
      <c r="S588" s="4"/>
      <c r="U588" s="6"/>
      <c r="X588" s="4"/>
      <c r="Y588" s="4"/>
    </row>
    <row r="589">
      <c r="C589" s="6"/>
      <c r="F589" s="6"/>
      <c r="M589" s="4"/>
      <c r="S589" s="4"/>
      <c r="U589" s="6"/>
      <c r="X589" s="4"/>
      <c r="Y589" s="4"/>
    </row>
    <row r="590">
      <c r="C590" s="6"/>
      <c r="F590" s="6"/>
      <c r="M590" s="4"/>
      <c r="S590" s="4"/>
      <c r="U590" s="6"/>
      <c r="X590" s="4"/>
      <c r="Y590" s="4"/>
    </row>
    <row r="591">
      <c r="C591" s="6"/>
      <c r="F591" s="6"/>
      <c r="M591" s="4"/>
      <c r="S591" s="4"/>
      <c r="U591" s="6"/>
      <c r="X591" s="4"/>
      <c r="Y591" s="4"/>
    </row>
    <row r="592">
      <c r="C592" s="6"/>
      <c r="F592" s="6"/>
      <c r="M592" s="4"/>
      <c r="S592" s="4"/>
      <c r="U592" s="6"/>
      <c r="X592" s="4"/>
      <c r="Y592" s="4"/>
    </row>
    <row r="593">
      <c r="C593" s="6"/>
      <c r="F593" s="6"/>
      <c r="M593" s="4"/>
      <c r="S593" s="4"/>
      <c r="U593" s="6"/>
      <c r="X593" s="4"/>
      <c r="Y593" s="4"/>
    </row>
    <row r="594">
      <c r="C594" s="6"/>
      <c r="F594" s="6"/>
      <c r="M594" s="4"/>
      <c r="S594" s="4"/>
      <c r="U594" s="6"/>
      <c r="X594" s="4"/>
      <c r="Y594" s="4"/>
    </row>
    <row r="595">
      <c r="C595" s="6"/>
      <c r="F595" s="6"/>
      <c r="M595" s="4"/>
      <c r="S595" s="4"/>
      <c r="U595" s="6"/>
      <c r="X595" s="4"/>
      <c r="Y595" s="4"/>
    </row>
    <row r="596">
      <c r="C596" s="6"/>
      <c r="F596" s="6"/>
      <c r="M596" s="4"/>
      <c r="S596" s="4"/>
      <c r="U596" s="6"/>
      <c r="X596" s="4"/>
      <c r="Y596" s="4"/>
    </row>
    <row r="597">
      <c r="C597" s="6"/>
      <c r="F597" s="6"/>
      <c r="M597" s="4"/>
      <c r="S597" s="4"/>
      <c r="U597" s="6"/>
      <c r="X597" s="4"/>
      <c r="Y597" s="4"/>
    </row>
    <row r="598">
      <c r="C598" s="6"/>
      <c r="F598" s="6"/>
      <c r="M598" s="4"/>
      <c r="S598" s="4"/>
      <c r="U598" s="6"/>
      <c r="X598" s="4"/>
      <c r="Y598" s="4"/>
    </row>
    <row r="599">
      <c r="C599" s="6"/>
      <c r="F599" s="6"/>
      <c r="M599" s="4"/>
      <c r="S599" s="4"/>
      <c r="U599" s="6"/>
      <c r="X599" s="4"/>
      <c r="Y599" s="4"/>
    </row>
    <row r="600">
      <c r="C600" s="6"/>
      <c r="F600" s="6"/>
      <c r="M600" s="4"/>
      <c r="S600" s="4"/>
      <c r="U600" s="6"/>
      <c r="X600" s="4"/>
      <c r="Y600" s="4"/>
    </row>
    <row r="601">
      <c r="C601" s="6"/>
      <c r="F601" s="6"/>
      <c r="M601" s="4"/>
      <c r="S601" s="4"/>
      <c r="U601" s="6"/>
      <c r="X601" s="4"/>
      <c r="Y601" s="4"/>
    </row>
    <row r="602">
      <c r="C602" s="6"/>
      <c r="F602" s="6"/>
      <c r="M602" s="4"/>
      <c r="S602" s="4"/>
      <c r="U602" s="6"/>
      <c r="X602" s="4"/>
      <c r="Y602" s="4"/>
    </row>
    <row r="603">
      <c r="C603" s="6"/>
      <c r="F603" s="6"/>
      <c r="M603" s="4"/>
      <c r="S603" s="4"/>
      <c r="U603" s="6"/>
      <c r="X603" s="4"/>
      <c r="Y603" s="4"/>
    </row>
    <row r="604">
      <c r="C604" s="6"/>
      <c r="F604" s="6"/>
      <c r="M604" s="4"/>
      <c r="S604" s="4"/>
      <c r="U604" s="6"/>
      <c r="X604" s="4"/>
      <c r="Y604" s="4"/>
    </row>
    <row r="605">
      <c r="C605" s="6"/>
      <c r="F605" s="6"/>
      <c r="M605" s="4"/>
      <c r="S605" s="4"/>
      <c r="U605" s="6"/>
      <c r="X605" s="4"/>
      <c r="Y605" s="4"/>
    </row>
    <row r="606">
      <c r="C606" s="6"/>
      <c r="F606" s="6"/>
      <c r="M606" s="4"/>
      <c r="S606" s="4"/>
      <c r="U606" s="6"/>
      <c r="X606" s="4"/>
      <c r="Y606" s="4"/>
    </row>
    <row r="607">
      <c r="C607" s="6"/>
      <c r="F607" s="6"/>
      <c r="M607" s="4"/>
      <c r="S607" s="4"/>
      <c r="U607" s="6"/>
      <c r="X607" s="4"/>
      <c r="Y607" s="4"/>
    </row>
    <row r="608">
      <c r="C608" s="6"/>
      <c r="F608" s="6"/>
      <c r="M608" s="4"/>
      <c r="S608" s="4"/>
      <c r="U608" s="6"/>
      <c r="X608" s="4"/>
      <c r="Y608" s="4"/>
    </row>
    <row r="609">
      <c r="C609" s="6"/>
      <c r="F609" s="6"/>
      <c r="M609" s="4"/>
      <c r="S609" s="4"/>
      <c r="U609" s="6"/>
      <c r="X609" s="4"/>
      <c r="Y609" s="4"/>
    </row>
    <row r="610">
      <c r="C610" s="6"/>
      <c r="F610" s="6"/>
      <c r="M610" s="4"/>
      <c r="S610" s="4"/>
      <c r="U610" s="6"/>
      <c r="X610" s="4"/>
      <c r="Y610" s="4"/>
    </row>
    <row r="611">
      <c r="C611" s="6"/>
      <c r="F611" s="6"/>
      <c r="M611" s="4"/>
      <c r="S611" s="4"/>
      <c r="U611" s="6"/>
      <c r="X611" s="4"/>
      <c r="Y611" s="4"/>
    </row>
    <row r="612">
      <c r="C612" s="6"/>
      <c r="F612" s="6"/>
      <c r="M612" s="4"/>
      <c r="S612" s="4"/>
      <c r="U612" s="6"/>
      <c r="X612" s="4"/>
      <c r="Y612" s="4"/>
    </row>
    <row r="613">
      <c r="C613" s="6"/>
      <c r="F613" s="6"/>
      <c r="M613" s="4"/>
      <c r="S613" s="4"/>
      <c r="U613" s="6"/>
      <c r="X613" s="4"/>
      <c r="Y613" s="4"/>
    </row>
    <row r="614">
      <c r="C614" s="6"/>
      <c r="F614" s="6"/>
      <c r="M614" s="4"/>
      <c r="S614" s="4"/>
      <c r="U614" s="6"/>
      <c r="X614" s="4"/>
      <c r="Y614" s="4"/>
    </row>
    <row r="615">
      <c r="C615" s="6"/>
      <c r="F615" s="6"/>
      <c r="M615" s="4"/>
      <c r="S615" s="4"/>
      <c r="U615" s="6"/>
      <c r="X615" s="4"/>
      <c r="Y615" s="4"/>
    </row>
    <row r="616">
      <c r="C616" s="6"/>
      <c r="F616" s="6"/>
      <c r="M616" s="4"/>
      <c r="S616" s="4"/>
      <c r="U616" s="6"/>
      <c r="X616" s="4"/>
      <c r="Y616" s="4"/>
    </row>
    <row r="617">
      <c r="C617" s="6"/>
      <c r="F617" s="6"/>
      <c r="M617" s="4"/>
      <c r="S617" s="4"/>
      <c r="U617" s="6"/>
      <c r="X617" s="4"/>
      <c r="Y617" s="4"/>
    </row>
    <row r="618">
      <c r="C618" s="6"/>
      <c r="F618" s="6"/>
      <c r="M618" s="4"/>
      <c r="S618" s="4"/>
      <c r="U618" s="6"/>
      <c r="X618" s="4"/>
      <c r="Y618" s="4"/>
    </row>
    <row r="619">
      <c r="C619" s="6"/>
      <c r="F619" s="6"/>
      <c r="M619" s="4"/>
      <c r="S619" s="4"/>
      <c r="U619" s="6"/>
      <c r="X619" s="4"/>
      <c r="Y619" s="4"/>
    </row>
    <row r="620">
      <c r="C620" s="6"/>
      <c r="F620" s="6"/>
      <c r="M620" s="4"/>
      <c r="S620" s="4"/>
      <c r="U620" s="6"/>
      <c r="X620" s="4"/>
      <c r="Y620" s="4"/>
    </row>
    <row r="621">
      <c r="C621" s="6"/>
      <c r="F621" s="6"/>
      <c r="M621" s="4"/>
      <c r="S621" s="4"/>
      <c r="U621" s="6"/>
      <c r="X621" s="4"/>
      <c r="Y621" s="4"/>
    </row>
    <row r="622">
      <c r="C622" s="6"/>
      <c r="F622" s="6"/>
      <c r="M622" s="4"/>
      <c r="S622" s="4"/>
      <c r="U622" s="6"/>
      <c r="X622" s="4"/>
      <c r="Y622" s="4"/>
    </row>
    <row r="623">
      <c r="C623" s="6"/>
      <c r="F623" s="6"/>
      <c r="M623" s="4"/>
      <c r="S623" s="4"/>
      <c r="U623" s="6"/>
      <c r="X623" s="4"/>
      <c r="Y623" s="4"/>
    </row>
    <row r="624">
      <c r="C624" s="6"/>
      <c r="F624" s="6"/>
      <c r="M624" s="4"/>
      <c r="S624" s="4"/>
      <c r="U624" s="6"/>
      <c r="X624" s="4"/>
      <c r="Y624" s="4"/>
    </row>
    <row r="625">
      <c r="C625" s="6"/>
      <c r="F625" s="6"/>
      <c r="M625" s="4"/>
      <c r="S625" s="4"/>
      <c r="U625" s="6"/>
      <c r="X625" s="4"/>
      <c r="Y625" s="4"/>
    </row>
    <row r="626">
      <c r="C626" s="6"/>
      <c r="F626" s="6"/>
      <c r="M626" s="4"/>
      <c r="S626" s="4"/>
      <c r="U626" s="6"/>
      <c r="X626" s="4"/>
      <c r="Y626" s="4"/>
    </row>
    <row r="627">
      <c r="C627" s="6"/>
      <c r="F627" s="6"/>
      <c r="M627" s="4"/>
      <c r="S627" s="4"/>
      <c r="U627" s="6"/>
      <c r="X627" s="4"/>
      <c r="Y627" s="4"/>
    </row>
    <row r="628">
      <c r="C628" s="6"/>
      <c r="F628" s="6"/>
      <c r="M628" s="4"/>
      <c r="S628" s="4"/>
      <c r="U628" s="6"/>
      <c r="X628" s="4"/>
      <c r="Y628" s="4"/>
    </row>
    <row r="629">
      <c r="C629" s="6"/>
      <c r="F629" s="6"/>
      <c r="M629" s="4"/>
      <c r="S629" s="4"/>
      <c r="U629" s="6"/>
      <c r="X629" s="4"/>
      <c r="Y629" s="4"/>
    </row>
    <row r="630">
      <c r="C630" s="6"/>
      <c r="F630" s="6"/>
      <c r="M630" s="4"/>
      <c r="S630" s="4"/>
      <c r="U630" s="6"/>
      <c r="X630" s="4"/>
      <c r="Y630" s="4"/>
    </row>
    <row r="631">
      <c r="C631" s="6"/>
      <c r="F631" s="6"/>
      <c r="M631" s="4"/>
      <c r="S631" s="4"/>
      <c r="U631" s="6"/>
      <c r="X631" s="4"/>
      <c r="Y631" s="4"/>
    </row>
    <row r="632">
      <c r="C632" s="6"/>
      <c r="F632" s="6"/>
      <c r="M632" s="4"/>
      <c r="S632" s="4"/>
      <c r="U632" s="6"/>
      <c r="X632" s="4"/>
      <c r="Y632" s="4"/>
    </row>
    <row r="633">
      <c r="C633" s="6"/>
      <c r="F633" s="6"/>
      <c r="M633" s="4"/>
      <c r="S633" s="4"/>
      <c r="U633" s="6"/>
      <c r="X633" s="4"/>
      <c r="Y633" s="4"/>
    </row>
    <row r="634">
      <c r="C634" s="6"/>
      <c r="F634" s="6"/>
      <c r="M634" s="4"/>
      <c r="S634" s="4"/>
      <c r="U634" s="6"/>
      <c r="X634" s="4"/>
      <c r="Y634" s="4"/>
    </row>
    <row r="635">
      <c r="C635" s="6"/>
      <c r="F635" s="6"/>
      <c r="M635" s="4"/>
      <c r="S635" s="4"/>
      <c r="U635" s="6"/>
      <c r="X635" s="4"/>
      <c r="Y635" s="4"/>
    </row>
    <row r="636">
      <c r="C636" s="6"/>
      <c r="F636" s="6"/>
      <c r="M636" s="4"/>
      <c r="S636" s="4"/>
      <c r="U636" s="6"/>
      <c r="X636" s="4"/>
      <c r="Y636" s="4"/>
    </row>
    <row r="637">
      <c r="C637" s="6"/>
      <c r="F637" s="6"/>
      <c r="M637" s="4"/>
      <c r="S637" s="4"/>
      <c r="U637" s="6"/>
      <c r="X637" s="4"/>
      <c r="Y637" s="4"/>
    </row>
    <row r="638">
      <c r="C638" s="6"/>
      <c r="F638" s="6"/>
      <c r="M638" s="4"/>
      <c r="S638" s="4"/>
      <c r="U638" s="6"/>
      <c r="X638" s="4"/>
      <c r="Y638" s="4"/>
    </row>
    <row r="639">
      <c r="C639" s="6"/>
      <c r="F639" s="6"/>
      <c r="M639" s="4"/>
      <c r="S639" s="4"/>
      <c r="U639" s="6"/>
      <c r="X639" s="4"/>
      <c r="Y639" s="4"/>
    </row>
    <row r="640">
      <c r="C640" s="6"/>
      <c r="F640" s="6"/>
      <c r="M640" s="4"/>
      <c r="S640" s="4"/>
      <c r="U640" s="6"/>
      <c r="X640" s="4"/>
      <c r="Y640" s="4"/>
    </row>
    <row r="641">
      <c r="C641" s="6"/>
      <c r="F641" s="6"/>
      <c r="M641" s="4"/>
      <c r="S641" s="4"/>
      <c r="U641" s="6"/>
      <c r="X641" s="4"/>
      <c r="Y641" s="4"/>
    </row>
    <row r="642">
      <c r="C642" s="6"/>
      <c r="F642" s="6"/>
      <c r="M642" s="4"/>
      <c r="S642" s="4"/>
      <c r="U642" s="6"/>
      <c r="X642" s="4"/>
      <c r="Y642" s="4"/>
    </row>
    <row r="643">
      <c r="C643" s="6"/>
      <c r="F643" s="6"/>
      <c r="M643" s="4"/>
      <c r="S643" s="4"/>
      <c r="U643" s="6"/>
      <c r="X643" s="4"/>
      <c r="Y643" s="4"/>
    </row>
    <row r="644">
      <c r="C644" s="6"/>
      <c r="F644" s="6"/>
      <c r="M644" s="4"/>
      <c r="S644" s="4"/>
      <c r="U644" s="6"/>
      <c r="X644" s="4"/>
      <c r="Y644" s="4"/>
    </row>
    <row r="645">
      <c r="C645" s="6"/>
      <c r="F645" s="6"/>
      <c r="M645" s="4"/>
      <c r="S645" s="4"/>
      <c r="U645" s="6"/>
      <c r="X645" s="4"/>
      <c r="Y645" s="4"/>
    </row>
    <row r="646">
      <c r="C646" s="6"/>
      <c r="F646" s="6"/>
      <c r="M646" s="4"/>
      <c r="S646" s="4"/>
      <c r="U646" s="6"/>
      <c r="X646" s="4"/>
      <c r="Y646" s="4"/>
    </row>
    <row r="647">
      <c r="C647" s="6"/>
      <c r="F647" s="6"/>
      <c r="M647" s="4"/>
      <c r="S647" s="4"/>
      <c r="U647" s="6"/>
      <c r="X647" s="4"/>
      <c r="Y647" s="4"/>
    </row>
    <row r="648">
      <c r="C648" s="6"/>
      <c r="F648" s="6"/>
      <c r="M648" s="4"/>
      <c r="S648" s="4"/>
      <c r="U648" s="6"/>
      <c r="X648" s="4"/>
      <c r="Y648" s="4"/>
    </row>
    <row r="649">
      <c r="C649" s="6"/>
      <c r="F649" s="6"/>
      <c r="M649" s="4"/>
      <c r="S649" s="4"/>
      <c r="U649" s="6"/>
      <c r="X649" s="4"/>
      <c r="Y649" s="4"/>
    </row>
    <row r="650">
      <c r="C650" s="6"/>
      <c r="F650" s="6"/>
      <c r="M650" s="4"/>
      <c r="S650" s="4"/>
      <c r="U650" s="6"/>
      <c r="X650" s="4"/>
      <c r="Y650" s="4"/>
    </row>
    <row r="651">
      <c r="C651" s="6"/>
      <c r="F651" s="6"/>
      <c r="M651" s="4"/>
      <c r="S651" s="4"/>
      <c r="U651" s="6"/>
      <c r="X651" s="4"/>
      <c r="Y651" s="4"/>
    </row>
    <row r="652">
      <c r="C652" s="6"/>
      <c r="F652" s="6"/>
      <c r="M652" s="4"/>
      <c r="S652" s="4"/>
      <c r="U652" s="6"/>
      <c r="X652" s="4"/>
      <c r="Y652" s="4"/>
    </row>
    <row r="653">
      <c r="C653" s="6"/>
      <c r="F653" s="6"/>
      <c r="M653" s="4"/>
      <c r="S653" s="4"/>
      <c r="U653" s="6"/>
      <c r="X653" s="4"/>
      <c r="Y653" s="4"/>
    </row>
    <row r="654">
      <c r="C654" s="6"/>
      <c r="F654" s="6"/>
      <c r="M654" s="4"/>
      <c r="S654" s="4"/>
      <c r="U654" s="6"/>
      <c r="X654" s="4"/>
      <c r="Y654" s="4"/>
    </row>
    <row r="655">
      <c r="C655" s="6"/>
      <c r="F655" s="6"/>
      <c r="M655" s="4"/>
      <c r="S655" s="4"/>
      <c r="U655" s="6"/>
      <c r="X655" s="4"/>
      <c r="Y655" s="4"/>
    </row>
    <row r="656">
      <c r="C656" s="6"/>
      <c r="F656" s="6"/>
      <c r="M656" s="4"/>
      <c r="S656" s="4"/>
      <c r="U656" s="6"/>
      <c r="X656" s="4"/>
      <c r="Y656" s="4"/>
    </row>
    <row r="657">
      <c r="C657" s="6"/>
      <c r="F657" s="6"/>
      <c r="M657" s="4"/>
      <c r="S657" s="4"/>
      <c r="U657" s="6"/>
      <c r="X657" s="4"/>
      <c r="Y657" s="4"/>
    </row>
    <row r="658">
      <c r="C658" s="6"/>
      <c r="F658" s="6"/>
      <c r="M658" s="4"/>
      <c r="S658" s="4"/>
      <c r="U658" s="6"/>
      <c r="X658" s="4"/>
      <c r="Y658" s="4"/>
    </row>
    <row r="659">
      <c r="C659" s="6"/>
      <c r="F659" s="6"/>
      <c r="M659" s="4"/>
      <c r="S659" s="4"/>
      <c r="U659" s="6"/>
      <c r="X659" s="4"/>
      <c r="Y659" s="4"/>
    </row>
    <row r="660">
      <c r="C660" s="6"/>
      <c r="F660" s="6"/>
      <c r="M660" s="4"/>
      <c r="S660" s="4"/>
      <c r="U660" s="6"/>
      <c r="X660" s="4"/>
      <c r="Y660" s="4"/>
    </row>
    <row r="661">
      <c r="C661" s="6"/>
      <c r="F661" s="6"/>
      <c r="M661" s="4"/>
      <c r="S661" s="4"/>
      <c r="U661" s="6"/>
      <c r="X661" s="4"/>
      <c r="Y661" s="4"/>
    </row>
    <row r="662">
      <c r="C662" s="6"/>
      <c r="F662" s="6"/>
      <c r="M662" s="4"/>
      <c r="S662" s="4"/>
      <c r="U662" s="6"/>
      <c r="X662" s="4"/>
      <c r="Y662" s="4"/>
    </row>
    <row r="663">
      <c r="C663" s="6"/>
      <c r="F663" s="6"/>
      <c r="M663" s="4"/>
      <c r="S663" s="4"/>
      <c r="U663" s="6"/>
      <c r="X663" s="4"/>
      <c r="Y663" s="4"/>
    </row>
    <row r="664">
      <c r="C664" s="6"/>
      <c r="F664" s="6"/>
      <c r="M664" s="4"/>
      <c r="S664" s="4"/>
      <c r="U664" s="6"/>
      <c r="X664" s="4"/>
      <c r="Y664" s="4"/>
    </row>
    <row r="665">
      <c r="C665" s="6"/>
      <c r="F665" s="6"/>
      <c r="M665" s="4"/>
      <c r="S665" s="4"/>
      <c r="U665" s="6"/>
      <c r="X665" s="4"/>
      <c r="Y665" s="4"/>
    </row>
    <row r="666">
      <c r="C666" s="6"/>
      <c r="F666" s="6"/>
      <c r="M666" s="4"/>
      <c r="S666" s="4"/>
      <c r="U666" s="6"/>
      <c r="X666" s="4"/>
      <c r="Y666" s="4"/>
    </row>
    <row r="667">
      <c r="C667" s="6"/>
      <c r="F667" s="6"/>
      <c r="M667" s="4"/>
      <c r="S667" s="4"/>
      <c r="U667" s="6"/>
      <c r="X667" s="4"/>
      <c r="Y667" s="4"/>
    </row>
    <row r="668">
      <c r="C668" s="6"/>
      <c r="F668" s="6"/>
      <c r="M668" s="4"/>
      <c r="S668" s="4"/>
      <c r="U668" s="6"/>
      <c r="X668" s="4"/>
      <c r="Y668" s="4"/>
    </row>
    <row r="669">
      <c r="C669" s="6"/>
      <c r="F669" s="6"/>
      <c r="M669" s="4"/>
      <c r="S669" s="4"/>
      <c r="U669" s="6"/>
      <c r="X669" s="4"/>
      <c r="Y669" s="4"/>
    </row>
    <row r="670">
      <c r="C670" s="6"/>
      <c r="F670" s="6"/>
      <c r="M670" s="4"/>
      <c r="S670" s="4"/>
      <c r="U670" s="6"/>
      <c r="X670" s="4"/>
      <c r="Y670" s="4"/>
    </row>
    <row r="671">
      <c r="C671" s="6"/>
      <c r="F671" s="6"/>
      <c r="M671" s="4"/>
      <c r="S671" s="4"/>
      <c r="U671" s="6"/>
      <c r="X671" s="4"/>
      <c r="Y671" s="4"/>
    </row>
    <row r="672">
      <c r="C672" s="6"/>
      <c r="F672" s="6"/>
      <c r="M672" s="4"/>
      <c r="S672" s="4"/>
      <c r="U672" s="6"/>
      <c r="X672" s="4"/>
      <c r="Y672" s="4"/>
    </row>
    <row r="673">
      <c r="C673" s="6"/>
      <c r="F673" s="6"/>
      <c r="M673" s="4"/>
      <c r="S673" s="4"/>
      <c r="U673" s="6"/>
      <c r="X673" s="4"/>
      <c r="Y673" s="4"/>
    </row>
    <row r="674">
      <c r="C674" s="6"/>
      <c r="F674" s="6"/>
      <c r="M674" s="4"/>
      <c r="S674" s="4"/>
      <c r="U674" s="6"/>
      <c r="X674" s="4"/>
      <c r="Y674" s="4"/>
    </row>
    <row r="675">
      <c r="C675" s="6"/>
      <c r="F675" s="6"/>
      <c r="M675" s="4"/>
      <c r="S675" s="4"/>
      <c r="U675" s="6"/>
      <c r="X675" s="4"/>
      <c r="Y675" s="4"/>
    </row>
    <row r="676">
      <c r="C676" s="6"/>
      <c r="F676" s="6"/>
      <c r="M676" s="4"/>
      <c r="S676" s="4"/>
      <c r="U676" s="6"/>
      <c r="X676" s="4"/>
      <c r="Y676" s="4"/>
    </row>
    <row r="677">
      <c r="C677" s="6"/>
      <c r="F677" s="6"/>
      <c r="M677" s="4"/>
      <c r="S677" s="4"/>
      <c r="U677" s="6"/>
      <c r="X677" s="4"/>
      <c r="Y677" s="4"/>
    </row>
    <row r="678">
      <c r="C678" s="6"/>
      <c r="F678" s="6"/>
      <c r="M678" s="4"/>
      <c r="S678" s="4"/>
      <c r="U678" s="6"/>
      <c r="X678" s="4"/>
      <c r="Y678" s="4"/>
    </row>
    <row r="679">
      <c r="C679" s="6"/>
      <c r="F679" s="6"/>
      <c r="M679" s="4"/>
      <c r="S679" s="4"/>
      <c r="U679" s="6"/>
      <c r="X679" s="4"/>
      <c r="Y679" s="4"/>
    </row>
    <row r="680">
      <c r="C680" s="6"/>
      <c r="F680" s="6"/>
      <c r="M680" s="4"/>
      <c r="S680" s="4"/>
      <c r="U680" s="6"/>
      <c r="X680" s="4"/>
      <c r="Y680" s="4"/>
    </row>
    <row r="681">
      <c r="C681" s="6"/>
      <c r="F681" s="6"/>
      <c r="M681" s="4"/>
      <c r="S681" s="4"/>
      <c r="U681" s="6"/>
      <c r="X681" s="4"/>
      <c r="Y681" s="4"/>
    </row>
    <row r="682">
      <c r="C682" s="6"/>
      <c r="F682" s="6"/>
      <c r="M682" s="4"/>
      <c r="S682" s="4"/>
      <c r="U682" s="6"/>
      <c r="X682" s="4"/>
      <c r="Y682" s="4"/>
    </row>
    <row r="683">
      <c r="C683" s="6"/>
      <c r="F683" s="6"/>
      <c r="M683" s="4"/>
      <c r="S683" s="4"/>
      <c r="U683" s="6"/>
      <c r="X683" s="4"/>
      <c r="Y683" s="4"/>
    </row>
    <row r="684">
      <c r="C684" s="6"/>
      <c r="F684" s="6"/>
      <c r="M684" s="4"/>
      <c r="S684" s="4"/>
      <c r="U684" s="6"/>
      <c r="X684" s="4"/>
      <c r="Y684" s="4"/>
    </row>
    <row r="685">
      <c r="C685" s="6"/>
      <c r="F685" s="6"/>
      <c r="M685" s="4"/>
      <c r="S685" s="4"/>
      <c r="U685" s="6"/>
      <c r="X685" s="4"/>
      <c r="Y685" s="4"/>
    </row>
    <row r="686">
      <c r="C686" s="6"/>
      <c r="F686" s="6"/>
      <c r="M686" s="4"/>
      <c r="S686" s="4"/>
      <c r="U686" s="6"/>
      <c r="X686" s="4"/>
      <c r="Y686" s="4"/>
    </row>
    <row r="687">
      <c r="C687" s="6"/>
      <c r="F687" s="6"/>
      <c r="M687" s="4"/>
      <c r="S687" s="4"/>
      <c r="U687" s="6"/>
      <c r="X687" s="4"/>
      <c r="Y687" s="4"/>
    </row>
    <row r="688">
      <c r="C688" s="6"/>
      <c r="F688" s="6"/>
      <c r="M688" s="4"/>
      <c r="S688" s="4"/>
      <c r="U688" s="6"/>
      <c r="X688" s="4"/>
      <c r="Y688" s="4"/>
    </row>
    <row r="689">
      <c r="C689" s="6"/>
      <c r="F689" s="6"/>
      <c r="M689" s="4"/>
      <c r="S689" s="4"/>
      <c r="U689" s="6"/>
      <c r="X689" s="4"/>
      <c r="Y689" s="4"/>
    </row>
    <row r="690">
      <c r="C690" s="6"/>
      <c r="F690" s="6"/>
      <c r="M690" s="4"/>
      <c r="S690" s="4"/>
      <c r="U690" s="6"/>
      <c r="X690" s="4"/>
      <c r="Y690" s="4"/>
    </row>
    <row r="691">
      <c r="C691" s="6"/>
      <c r="F691" s="6"/>
      <c r="M691" s="4"/>
      <c r="S691" s="4"/>
      <c r="U691" s="6"/>
      <c r="X691" s="4"/>
      <c r="Y691" s="4"/>
    </row>
    <row r="692">
      <c r="C692" s="6"/>
      <c r="F692" s="6"/>
      <c r="M692" s="4"/>
      <c r="S692" s="4"/>
      <c r="U692" s="6"/>
      <c r="X692" s="4"/>
      <c r="Y692" s="4"/>
    </row>
    <row r="693">
      <c r="C693" s="6"/>
      <c r="F693" s="6"/>
      <c r="M693" s="4"/>
      <c r="S693" s="4"/>
      <c r="U693" s="6"/>
      <c r="X693" s="4"/>
      <c r="Y693" s="4"/>
    </row>
    <row r="694">
      <c r="C694" s="6"/>
      <c r="F694" s="6"/>
      <c r="M694" s="4"/>
      <c r="S694" s="4"/>
      <c r="U694" s="6"/>
      <c r="X694" s="4"/>
      <c r="Y694" s="4"/>
    </row>
    <row r="695">
      <c r="C695" s="6"/>
      <c r="F695" s="6"/>
      <c r="M695" s="4"/>
      <c r="S695" s="4"/>
      <c r="U695" s="6"/>
      <c r="X695" s="4"/>
      <c r="Y695" s="4"/>
    </row>
    <row r="696">
      <c r="C696" s="6"/>
      <c r="F696" s="6"/>
      <c r="M696" s="4"/>
      <c r="S696" s="4"/>
      <c r="U696" s="6"/>
      <c r="X696" s="4"/>
      <c r="Y696" s="4"/>
    </row>
    <row r="697">
      <c r="C697" s="6"/>
      <c r="F697" s="6"/>
      <c r="M697" s="4"/>
      <c r="S697" s="4"/>
      <c r="U697" s="6"/>
      <c r="X697" s="4"/>
      <c r="Y697" s="4"/>
    </row>
    <row r="698">
      <c r="C698" s="6"/>
      <c r="F698" s="6"/>
      <c r="M698" s="4"/>
      <c r="S698" s="4"/>
      <c r="U698" s="6"/>
      <c r="X698" s="4"/>
      <c r="Y698" s="4"/>
    </row>
    <row r="699">
      <c r="C699" s="6"/>
      <c r="F699" s="6"/>
      <c r="M699" s="4"/>
      <c r="S699" s="4"/>
      <c r="U699" s="6"/>
      <c r="X699" s="4"/>
      <c r="Y699" s="4"/>
    </row>
    <row r="700">
      <c r="C700" s="6"/>
      <c r="F700" s="6"/>
      <c r="M700" s="4"/>
      <c r="S700" s="4"/>
      <c r="U700" s="6"/>
      <c r="X700" s="4"/>
      <c r="Y700" s="4"/>
    </row>
    <row r="701">
      <c r="C701" s="6"/>
      <c r="F701" s="6"/>
      <c r="M701" s="4"/>
      <c r="S701" s="4"/>
      <c r="U701" s="6"/>
      <c r="X701" s="4"/>
      <c r="Y701" s="4"/>
    </row>
    <row r="702">
      <c r="C702" s="6"/>
      <c r="F702" s="6"/>
      <c r="M702" s="4"/>
      <c r="S702" s="4"/>
      <c r="U702" s="6"/>
      <c r="X702" s="4"/>
      <c r="Y702" s="4"/>
    </row>
    <row r="703">
      <c r="C703" s="6"/>
      <c r="F703" s="6"/>
      <c r="M703" s="4"/>
      <c r="S703" s="4"/>
      <c r="U703" s="6"/>
      <c r="X703" s="4"/>
      <c r="Y703" s="4"/>
    </row>
    <row r="704">
      <c r="C704" s="6"/>
      <c r="F704" s="6"/>
      <c r="M704" s="4"/>
      <c r="S704" s="4"/>
      <c r="U704" s="6"/>
      <c r="X704" s="4"/>
      <c r="Y704" s="4"/>
    </row>
    <row r="705">
      <c r="C705" s="6"/>
      <c r="F705" s="6"/>
      <c r="M705" s="4"/>
      <c r="S705" s="4"/>
      <c r="U705" s="6"/>
      <c r="X705" s="4"/>
      <c r="Y705" s="4"/>
    </row>
    <row r="706">
      <c r="C706" s="6"/>
      <c r="F706" s="6"/>
      <c r="M706" s="4"/>
      <c r="S706" s="4"/>
      <c r="U706" s="6"/>
      <c r="X706" s="4"/>
      <c r="Y706" s="4"/>
    </row>
    <row r="707">
      <c r="C707" s="6"/>
      <c r="F707" s="6"/>
      <c r="M707" s="4"/>
      <c r="S707" s="4"/>
      <c r="U707" s="6"/>
      <c r="X707" s="4"/>
      <c r="Y707" s="4"/>
    </row>
    <row r="708">
      <c r="C708" s="6"/>
      <c r="F708" s="6"/>
      <c r="M708" s="4"/>
      <c r="S708" s="4"/>
      <c r="U708" s="6"/>
      <c r="X708" s="4"/>
      <c r="Y708" s="4"/>
    </row>
    <row r="709">
      <c r="C709" s="6"/>
      <c r="F709" s="6"/>
      <c r="M709" s="4"/>
      <c r="S709" s="4"/>
      <c r="U709" s="6"/>
      <c r="X709" s="4"/>
      <c r="Y709" s="4"/>
    </row>
    <row r="710">
      <c r="C710" s="6"/>
      <c r="F710" s="6"/>
      <c r="M710" s="4"/>
      <c r="S710" s="4"/>
      <c r="U710" s="6"/>
      <c r="X710" s="4"/>
      <c r="Y710" s="4"/>
    </row>
    <row r="711">
      <c r="C711" s="6"/>
      <c r="F711" s="6"/>
      <c r="M711" s="4"/>
      <c r="S711" s="4"/>
      <c r="U711" s="6"/>
      <c r="X711" s="4"/>
      <c r="Y711" s="4"/>
    </row>
    <row r="712">
      <c r="C712" s="6"/>
      <c r="F712" s="6"/>
      <c r="M712" s="4"/>
      <c r="S712" s="4"/>
      <c r="U712" s="6"/>
      <c r="X712" s="4"/>
      <c r="Y712" s="4"/>
    </row>
    <row r="713">
      <c r="C713" s="6"/>
      <c r="F713" s="6"/>
      <c r="M713" s="4"/>
      <c r="S713" s="4"/>
      <c r="U713" s="6"/>
      <c r="X713" s="4"/>
      <c r="Y713" s="4"/>
    </row>
    <row r="714">
      <c r="C714" s="6"/>
      <c r="F714" s="6"/>
      <c r="M714" s="4"/>
      <c r="S714" s="4"/>
      <c r="U714" s="6"/>
      <c r="X714" s="4"/>
      <c r="Y714" s="4"/>
    </row>
    <row r="715">
      <c r="C715" s="6"/>
      <c r="F715" s="6"/>
      <c r="M715" s="4"/>
      <c r="S715" s="4"/>
      <c r="U715" s="6"/>
      <c r="X715" s="4"/>
      <c r="Y715" s="4"/>
    </row>
    <row r="716">
      <c r="C716" s="6"/>
      <c r="F716" s="6"/>
      <c r="M716" s="4"/>
      <c r="S716" s="4"/>
      <c r="U716" s="6"/>
      <c r="X716" s="4"/>
      <c r="Y716" s="4"/>
    </row>
    <row r="717">
      <c r="C717" s="6"/>
      <c r="F717" s="6"/>
      <c r="M717" s="4"/>
      <c r="S717" s="4"/>
      <c r="U717" s="6"/>
      <c r="X717" s="4"/>
      <c r="Y717" s="4"/>
    </row>
    <row r="718">
      <c r="C718" s="6"/>
      <c r="F718" s="6"/>
      <c r="M718" s="4"/>
      <c r="S718" s="4"/>
      <c r="U718" s="6"/>
      <c r="X718" s="4"/>
      <c r="Y718" s="4"/>
    </row>
    <row r="719">
      <c r="C719" s="6"/>
      <c r="F719" s="6"/>
      <c r="M719" s="4"/>
      <c r="S719" s="4"/>
      <c r="U719" s="6"/>
      <c r="X719" s="4"/>
      <c r="Y719" s="4"/>
    </row>
    <row r="720">
      <c r="C720" s="6"/>
      <c r="F720" s="6"/>
      <c r="M720" s="4"/>
      <c r="S720" s="4"/>
      <c r="U720" s="6"/>
      <c r="X720" s="4"/>
      <c r="Y720" s="4"/>
    </row>
    <row r="721">
      <c r="C721" s="6"/>
      <c r="F721" s="6"/>
      <c r="M721" s="4"/>
      <c r="S721" s="4"/>
      <c r="U721" s="6"/>
      <c r="X721" s="4"/>
      <c r="Y721" s="4"/>
    </row>
    <row r="722">
      <c r="C722" s="6"/>
      <c r="F722" s="6"/>
      <c r="M722" s="4"/>
      <c r="S722" s="4"/>
      <c r="U722" s="6"/>
      <c r="X722" s="4"/>
      <c r="Y722" s="4"/>
    </row>
    <row r="723">
      <c r="C723" s="6"/>
      <c r="F723" s="6"/>
      <c r="M723" s="4"/>
      <c r="S723" s="4"/>
      <c r="U723" s="6"/>
      <c r="X723" s="4"/>
      <c r="Y723" s="4"/>
    </row>
    <row r="724">
      <c r="C724" s="6"/>
      <c r="F724" s="6"/>
      <c r="M724" s="4"/>
      <c r="S724" s="4"/>
      <c r="U724" s="6"/>
      <c r="X724" s="4"/>
      <c r="Y724" s="4"/>
    </row>
    <row r="725">
      <c r="C725" s="6"/>
      <c r="F725" s="6"/>
      <c r="M725" s="4"/>
      <c r="S725" s="4"/>
      <c r="U725" s="6"/>
      <c r="X725" s="4"/>
      <c r="Y725" s="4"/>
    </row>
    <row r="726">
      <c r="C726" s="6"/>
      <c r="F726" s="6"/>
      <c r="M726" s="4"/>
      <c r="S726" s="4"/>
      <c r="U726" s="6"/>
      <c r="X726" s="4"/>
      <c r="Y726" s="4"/>
    </row>
    <row r="727">
      <c r="C727" s="6"/>
      <c r="F727" s="6"/>
      <c r="M727" s="4"/>
      <c r="S727" s="4"/>
      <c r="U727" s="6"/>
      <c r="X727" s="4"/>
      <c r="Y727" s="4"/>
    </row>
    <row r="728">
      <c r="C728" s="6"/>
      <c r="F728" s="6"/>
      <c r="M728" s="4"/>
      <c r="S728" s="4"/>
      <c r="U728" s="6"/>
      <c r="X728" s="4"/>
      <c r="Y728" s="4"/>
    </row>
    <row r="729">
      <c r="C729" s="6"/>
      <c r="F729" s="6"/>
      <c r="M729" s="4"/>
      <c r="S729" s="4"/>
      <c r="U729" s="6"/>
      <c r="X729" s="4"/>
      <c r="Y729" s="4"/>
    </row>
    <row r="730">
      <c r="C730" s="6"/>
      <c r="F730" s="6"/>
      <c r="M730" s="4"/>
      <c r="S730" s="4"/>
      <c r="U730" s="6"/>
      <c r="X730" s="4"/>
      <c r="Y730" s="4"/>
    </row>
    <row r="731">
      <c r="C731" s="6"/>
      <c r="F731" s="6"/>
      <c r="M731" s="4"/>
      <c r="S731" s="4"/>
      <c r="U731" s="6"/>
      <c r="X731" s="4"/>
      <c r="Y731" s="4"/>
    </row>
    <row r="732">
      <c r="C732" s="6"/>
      <c r="F732" s="6"/>
      <c r="M732" s="4"/>
      <c r="S732" s="4"/>
      <c r="U732" s="6"/>
      <c r="X732" s="4"/>
      <c r="Y732" s="4"/>
    </row>
    <row r="733">
      <c r="C733" s="6"/>
      <c r="F733" s="6"/>
      <c r="M733" s="4"/>
      <c r="S733" s="4"/>
      <c r="U733" s="6"/>
      <c r="X733" s="4"/>
      <c r="Y733" s="4"/>
    </row>
    <row r="734">
      <c r="C734" s="6"/>
      <c r="F734" s="6"/>
      <c r="M734" s="4"/>
      <c r="S734" s="4"/>
      <c r="U734" s="6"/>
      <c r="X734" s="4"/>
      <c r="Y734" s="4"/>
    </row>
    <row r="735">
      <c r="C735" s="6"/>
      <c r="F735" s="6"/>
      <c r="M735" s="4"/>
      <c r="S735" s="4"/>
      <c r="U735" s="6"/>
      <c r="X735" s="4"/>
      <c r="Y735" s="4"/>
    </row>
    <row r="736">
      <c r="C736" s="6"/>
      <c r="F736" s="6"/>
      <c r="M736" s="4"/>
      <c r="S736" s="4"/>
      <c r="U736" s="6"/>
      <c r="X736" s="4"/>
      <c r="Y736" s="4"/>
    </row>
    <row r="737">
      <c r="C737" s="6"/>
      <c r="F737" s="6"/>
      <c r="M737" s="4"/>
      <c r="S737" s="4"/>
      <c r="U737" s="6"/>
      <c r="X737" s="4"/>
      <c r="Y737" s="4"/>
    </row>
    <row r="738">
      <c r="C738" s="6"/>
      <c r="F738" s="6"/>
      <c r="M738" s="4"/>
      <c r="S738" s="4"/>
      <c r="U738" s="6"/>
      <c r="X738" s="4"/>
      <c r="Y738" s="4"/>
    </row>
    <row r="739">
      <c r="C739" s="6"/>
      <c r="F739" s="6"/>
      <c r="M739" s="4"/>
      <c r="S739" s="4"/>
      <c r="U739" s="6"/>
      <c r="X739" s="4"/>
      <c r="Y739" s="4"/>
    </row>
    <row r="740">
      <c r="C740" s="6"/>
      <c r="F740" s="6"/>
      <c r="M740" s="4"/>
      <c r="S740" s="4"/>
      <c r="U740" s="6"/>
      <c r="X740" s="4"/>
      <c r="Y740" s="4"/>
    </row>
    <row r="741">
      <c r="C741" s="6"/>
      <c r="F741" s="6"/>
      <c r="M741" s="4"/>
      <c r="S741" s="4"/>
      <c r="U741" s="6"/>
      <c r="X741" s="4"/>
      <c r="Y741" s="4"/>
    </row>
    <row r="742">
      <c r="C742" s="6"/>
      <c r="F742" s="6"/>
      <c r="M742" s="4"/>
      <c r="S742" s="4"/>
      <c r="U742" s="6"/>
      <c r="X742" s="4"/>
      <c r="Y742" s="4"/>
    </row>
    <row r="743">
      <c r="C743" s="6"/>
      <c r="F743" s="6"/>
      <c r="M743" s="4"/>
      <c r="S743" s="4"/>
      <c r="U743" s="6"/>
      <c r="X743" s="4"/>
      <c r="Y743" s="4"/>
    </row>
    <row r="744">
      <c r="C744" s="6"/>
      <c r="F744" s="6"/>
      <c r="M744" s="4"/>
      <c r="S744" s="4"/>
      <c r="U744" s="6"/>
      <c r="X744" s="4"/>
      <c r="Y744" s="4"/>
    </row>
    <row r="745">
      <c r="C745" s="6"/>
      <c r="F745" s="6"/>
      <c r="M745" s="4"/>
      <c r="S745" s="4"/>
      <c r="U745" s="6"/>
      <c r="X745" s="4"/>
      <c r="Y745" s="4"/>
    </row>
    <row r="746">
      <c r="C746" s="6"/>
      <c r="F746" s="6"/>
      <c r="M746" s="4"/>
      <c r="S746" s="4"/>
      <c r="U746" s="6"/>
      <c r="X746" s="4"/>
      <c r="Y746" s="4"/>
    </row>
    <row r="747">
      <c r="C747" s="6"/>
      <c r="F747" s="6"/>
      <c r="M747" s="4"/>
      <c r="S747" s="4"/>
      <c r="U747" s="6"/>
      <c r="X747" s="4"/>
      <c r="Y747" s="4"/>
    </row>
    <row r="748">
      <c r="C748" s="6"/>
      <c r="F748" s="6"/>
      <c r="M748" s="4"/>
      <c r="S748" s="4"/>
      <c r="U748" s="6"/>
      <c r="X748" s="4"/>
      <c r="Y748" s="4"/>
    </row>
    <row r="749">
      <c r="C749" s="6"/>
      <c r="F749" s="6"/>
      <c r="M749" s="4"/>
      <c r="S749" s="4"/>
      <c r="U749" s="6"/>
      <c r="X749" s="4"/>
      <c r="Y749" s="4"/>
    </row>
    <row r="750">
      <c r="C750" s="6"/>
      <c r="F750" s="6"/>
      <c r="M750" s="4"/>
      <c r="S750" s="4"/>
      <c r="U750" s="6"/>
      <c r="X750" s="4"/>
      <c r="Y750" s="4"/>
    </row>
    <row r="751">
      <c r="C751" s="6"/>
      <c r="F751" s="6"/>
      <c r="M751" s="4"/>
      <c r="S751" s="4"/>
      <c r="U751" s="6"/>
      <c r="X751" s="4"/>
      <c r="Y751" s="4"/>
    </row>
    <row r="752">
      <c r="C752" s="6"/>
      <c r="F752" s="6"/>
      <c r="M752" s="4"/>
      <c r="S752" s="4"/>
      <c r="U752" s="6"/>
      <c r="X752" s="4"/>
      <c r="Y752" s="4"/>
    </row>
    <row r="753">
      <c r="C753" s="6"/>
      <c r="F753" s="6"/>
      <c r="M753" s="4"/>
      <c r="S753" s="4"/>
      <c r="U753" s="6"/>
      <c r="X753" s="4"/>
      <c r="Y753" s="4"/>
    </row>
    <row r="754">
      <c r="C754" s="6"/>
      <c r="F754" s="6"/>
      <c r="M754" s="4"/>
      <c r="S754" s="4"/>
      <c r="U754" s="6"/>
      <c r="X754" s="4"/>
      <c r="Y754" s="4"/>
    </row>
    <row r="755">
      <c r="C755" s="6"/>
      <c r="F755" s="6"/>
      <c r="M755" s="4"/>
      <c r="S755" s="4"/>
      <c r="U755" s="6"/>
      <c r="X755" s="4"/>
      <c r="Y755" s="4"/>
    </row>
    <row r="756">
      <c r="C756" s="6"/>
      <c r="F756" s="6"/>
      <c r="M756" s="4"/>
      <c r="S756" s="4"/>
      <c r="U756" s="6"/>
      <c r="X756" s="4"/>
      <c r="Y756" s="4"/>
    </row>
    <row r="757">
      <c r="C757" s="6"/>
      <c r="F757" s="6"/>
      <c r="M757" s="4"/>
      <c r="S757" s="4"/>
      <c r="U757" s="6"/>
      <c r="X757" s="4"/>
      <c r="Y757" s="4"/>
    </row>
    <row r="758">
      <c r="C758" s="6"/>
      <c r="F758" s="6"/>
      <c r="M758" s="4"/>
      <c r="S758" s="4"/>
      <c r="U758" s="6"/>
      <c r="X758" s="4"/>
      <c r="Y758" s="4"/>
    </row>
    <row r="759">
      <c r="C759" s="6"/>
      <c r="F759" s="6"/>
      <c r="M759" s="4"/>
      <c r="S759" s="4"/>
      <c r="U759" s="6"/>
      <c r="X759" s="4"/>
      <c r="Y759" s="4"/>
    </row>
    <row r="760">
      <c r="C760" s="6"/>
      <c r="F760" s="6"/>
      <c r="M760" s="4"/>
      <c r="S760" s="4"/>
      <c r="U760" s="6"/>
      <c r="X760" s="4"/>
      <c r="Y760" s="4"/>
    </row>
    <row r="761">
      <c r="C761" s="6"/>
      <c r="F761" s="6"/>
      <c r="M761" s="4"/>
      <c r="S761" s="4"/>
      <c r="U761" s="6"/>
      <c r="X761" s="4"/>
      <c r="Y761" s="4"/>
    </row>
    <row r="762">
      <c r="C762" s="6"/>
      <c r="F762" s="6"/>
      <c r="M762" s="4"/>
      <c r="S762" s="4"/>
      <c r="U762" s="6"/>
      <c r="X762" s="4"/>
      <c r="Y762" s="4"/>
    </row>
    <row r="763">
      <c r="C763" s="6"/>
      <c r="F763" s="6"/>
      <c r="M763" s="4"/>
      <c r="S763" s="4"/>
      <c r="U763" s="6"/>
      <c r="X763" s="4"/>
      <c r="Y763" s="4"/>
    </row>
    <row r="764">
      <c r="C764" s="6"/>
      <c r="F764" s="6"/>
      <c r="M764" s="4"/>
      <c r="S764" s="4"/>
      <c r="U764" s="6"/>
      <c r="X764" s="4"/>
      <c r="Y764" s="4"/>
    </row>
    <row r="765">
      <c r="C765" s="6"/>
      <c r="F765" s="6"/>
      <c r="M765" s="4"/>
      <c r="S765" s="4"/>
      <c r="U765" s="6"/>
      <c r="X765" s="4"/>
      <c r="Y765" s="4"/>
    </row>
    <row r="766">
      <c r="C766" s="6"/>
      <c r="F766" s="6"/>
      <c r="M766" s="4"/>
      <c r="S766" s="4"/>
      <c r="U766" s="6"/>
      <c r="X766" s="4"/>
      <c r="Y766" s="4"/>
    </row>
    <row r="767">
      <c r="C767" s="6"/>
      <c r="F767" s="6"/>
      <c r="M767" s="4"/>
      <c r="S767" s="4"/>
      <c r="U767" s="6"/>
      <c r="X767" s="4"/>
      <c r="Y767" s="4"/>
    </row>
    <row r="768">
      <c r="C768" s="6"/>
      <c r="F768" s="6"/>
      <c r="M768" s="4"/>
      <c r="S768" s="4"/>
      <c r="U768" s="6"/>
      <c r="X768" s="4"/>
      <c r="Y768" s="4"/>
    </row>
    <row r="769">
      <c r="C769" s="6"/>
      <c r="F769" s="6"/>
      <c r="M769" s="4"/>
      <c r="S769" s="4"/>
      <c r="U769" s="6"/>
      <c r="X769" s="4"/>
      <c r="Y769" s="4"/>
    </row>
    <row r="770">
      <c r="C770" s="6"/>
      <c r="F770" s="6"/>
      <c r="M770" s="4"/>
      <c r="S770" s="4"/>
      <c r="U770" s="6"/>
      <c r="X770" s="4"/>
      <c r="Y770" s="4"/>
    </row>
    <row r="771">
      <c r="C771" s="6"/>
      <c r="F771" s="6"/>
      <c r="M771" s="4"/>
      <c r="S771" s="4"/>
      <c r="U771" s="6"/>
      <c r="X771" s="4"/>
      <c r="Y771" s="4"/>
    </row>
    <row r="772">
      <c r="C772" s="6"/>
      <c r="F772" s="6"/>
      <c r="M772" s="4"/>
      <c r="S772" s="4"/>
      <c r="U772" s="6"/>
      <c r="X772" s="4"/>
      <c r="Y772" s="4"/>
    </row>
    <row r="773">
      <c r="C773" s="6"/>
      <c r="F773" s="6"/>
      <c r="M773" s="4"/>
      <c r="S773" s="4"/>
      <c r="U773" s="6"/>
      <c r="X773" s="4"/>
      <c r="Y773" s="4"/>
    </row>
    <row r="774">
      <c r="C774" s="6"/>
      <c r="F774" s="6"/>
      <c r="M774" s="4"/>
      <c r="S774" s="4"/>
      <c r="U774" s="6"/>
      <c r="X774" s="4"/>
      <c r="Y774" s="4"/>
    </row>
    <row r="775">
      <c r="C775" s="6"/>
      <c r="F775" s="6"/>
      <c r="M775" s="4"/>
      <c r="S775" s="4"/>
      <c r="U775" s="6"/>
      <c r="X775" s="4"/>
      <c r="Y775" s="4"/>
    </row>
    <row r="776">
      <c r="C776" s="6"/>
      <c r="F776" s="6"/>
      <c r="M776" s="4"/>
      <c r="S776" s="4"/>
      <c r="U776" s="6"/>
      <c r="X776" s="4"/>
      <c r="Y776" s="4"/>
    </row>
    <row r="777">
      <c r="C777" s="6"/>
      <c r="F777" s="6"/>
      <c r="M777" s="4"/>
      <c r="S777" s="4"/>
      <c r="U777" s="6"/>
      <c r="X777" s="4"/>
      <c r="Y777" s="4"/>
    </row>
    <row r="778">
      <c r="C778" s="6"/>
      <c r="F778" s="6"/>
      <c r="M778" s="4"/>
      <c r="S778" s="4"/>
      <c r="U778" s="6"/>
      <c r="X778" s="4"/>
      <c r="Y778" s="4"/>
    </row>
    <row r="779">
      <c r="C779" s="6"/>
      <c r="F779" s="6"/>
      <c r="M779" s="4"/>
      <c r="S779" s="4"/>
      <c r="U779" s="6"/>
      <c r="X779" s="4"/>
      <c r="Y779" s="4"/>
    </row>
    <row r="780">
      <c r="C780" s="6"/>
      <c r="F780" s="6"/>
      <c r="M780" s="4"/>
      <c r="S780" s="4"/>
      <c r="U780" s="6"/>
      <c r="X780" s="4"/>
      <c r="Y780" s="4"/>
    </row>
    <row r="781">
      <c r="C781" s="6"/>
      <c r="F781" s="6"/>
      <c r="M781" s="4"/>
      <c r="S781" s="4"/>
      <c r="U781" s="6"/>
      <c r="X781" s="4"/>
      <c r="Y781" s="4"/>
    </row>
    <row r="782">
      <c r="C782" s="6"/>
      <c r="F782" s="6"/>
      <c r="M782" s="4"/>
      <c r="S782" s="4"/>
      <c r="U782" s="6"/>
      <c r="X782" s="4"/>
      <c r="Y782" s="4"/>
    </row>
    <row r="783">
      <c r="C783" s="6"/>
      <c r="F783" s="6"/>
      <c r="M783" s="4"/>
      <c r="S783" s="4"/>
      <c r="U783" s="6"/>
      <c r="X783" s="4"/>
      <c r="Y783" s="4"/>
    </row>
    <row r="784">
      <c r="C784" s="6"/>
      <c r="F784" s="6"/>
      <c r="M784" s="4"/>
      <c r="S784" s="4"/>
      <c r="U784" s="6"/>
      <c r="X784" s="4"/>
      <c r="Y784" s="4"/>
    </row>
    <row r="785">
      <c r="C785" s="6"/>
      <c r="F785" s="6"/>
      <c r="M785" s="4"/>
      <c r="S785" s="4"/>
      <c r="U785" s="6"/>
      <c r="X785" s="4"/>
      <c r="Y785" s="4"/>
    </row>
    <row r="786">
      <c r="C786" s="6"/>
      <c r="F786" s="6"/>
      <c r="M786" s="4"/>
      <c r="S786" s="4"/>
      <c r="U786" s="6"/>
      <c r="X786" s="4"/>
      <c r="Y786" s="4"/>
    </row>
    <row r="787">
      <c r="C787" s="6"/>
      <c r="F787" s="6"/>
      <c r="M787" s="4"/>
      <c r="S787" s="4"/>
      <c r="U787" s="6"/>
      <c r="X787" s="4"/>
      <c r="Y787" s="4"/>
    </row>
    <row r="788">
      <c r="C788" s="6"/>
      <c r="F788" s="6"/>
      <c r="M788" s="4"/>
      <c r="S788" s="4"/>
      <c r="U788" s="6"/>
      <c r="X788" s="4"/>
      <c r="Y788" s="4"/>
    </row>
    <row r="789">
      <c r="C789" s="6"/>
      <c r="F789" s="6"/>
      <c r="M789" s="4"/>
      <c r="S789" s="4"/>
      <c r="U789" s="6"/>
      <c r="X789" s="4"/>
      <c r="Y789" s="4"/>
    </row>
    <row r="790">
      <c r="C790" s="6"/>
      <c r="F790" s="6"/>
      <c r="M790" s="4"/>
      <c r="S790" s="4"/>
      <c r="U790" s="6"/>
      <c r="X790" s="4"/>
      <c r="Y790" s="4"/>
    </row>
    <row r="791">
      <c r="C791" s="6"/>
      <c r="F791" s="6"/>
      <c r="M791" s="4"/>
      <c r="S791" s="4"/>
      <c r="U791" s="6"/>
      <c r="X791" s="4"/>
      <c r="Y791" s="4"/>
    </row>
    <row r="792">
      <c r="C792" s="6"/>
      <c r="F792" s="6"/>
      <c r="M792" s="4"/>
      <c r="S792" s="4"/>
      <c r="U792" s="6"/>
      <c r="X792" s="4"/>
      <c r="Y792" s="4"/>
    </row>
    <row r="793">
      <c r="C793" s="6"/>
      <c r="F793" s="6"/>
      <c r="M793" s="4"/>
      <c r="S793" s="4"/>
      <c r="U793" s="6"/>
      <c r="X793" s="4"/>
      <c r="Y793" s="4"/>
    </row>
    <row r="794">
      <c r="C794" s="6"/>
      <c r="F794" s="6"/>
      <c r="M794" s="4"/>
      <c r="S794" s="4"/>
      <c r="U794" s="6"/>
      <c r="X794" s="4"/>
      <c r="Y794" s="4"/>
    </row>
    <row r="795">
      <c r="C795" s="6"/>
      <c r="F795" s="6"/>
      <c r="M795" s="4"/>
      <c r="S795" s="4"/>
      <c r="U795" s="6"/>
      <c r="X795" s="4"/>
      <c r="Y795" s="4"/>
    </row>
    <row r="796">
      <c r="C796" s="6"/>
      <c r="F796" s="6"/>
      <c r="M796" s="4"/>
      <c r="S796" s="4"/>
      <c r="U796" s="6"/>
      <c r="X796" s="4"/>
      <c r="Y796" s="4"/>
    </row>
    <row r="797">
      <c r="C797" s="6"/>
      <c r="F797" s="6"/>
      <c r="M797" s="4"/>
      <c r="S797" s="4"/>
      <c r="U797" s="6"/>
      <c r="X797" s="4"/>
      <c r="Y797" s="4"/>
    </row>
    <row r="798">
      <c r="C798" s="6"/>
      <c r="F798" s="6"/>
      <c r="M798" s="4"/>
      <c r="S798" s="4"/>
      <c r="U798" s="6"/>
      <c r="X798" s="4"/>
      <c r="Y798" s="4"/>
    </row>
    <row r="799">
      <c r="C799" s="6"/>
      <c r="F799" s="6"/>
      <c r="M799" s="4"/>
      <c r="S799" s="4"/>
      <c r="U799" s="6"/>
      <c r="X799" s="4"/>
      <c r="Y799" s="4"/>
    </row>
    <row r="800">
      <c r="C800" s="6"/>
      <c r="F800" s="6"/>
      <c r="M800" s="4"/>
      <c r="S800" s="4"/>
      <c r="U800" s="6"/>
      <c r="X800" s="4"/>
      <c r="Y800" s="4"/>
    </row>
    <row r="801">
      <c r="C801" s="6"/>
      <c r="F801" s="6"/>
      <c r="M801" s="4"/>
      <c r="S801" s="4"/>
      <c r="U801" s="6"/>
      <c r="X801" s="4"/>
      <c r="Y801" s="4"/>
    </row>
    <row r="802">
      <c r="C802" s="6"/>
      <c r="F802" s="6"/>
      <c r="M802" s="4"/>
      <c r="S802" s="4"/>
      <c r="U802" s="6"/>
      <c r="X802" s="4"/>
      <c r="Y802" s="4"/>
    </row>
    <row r="803">
      <c r="C803" s="6"/>
      <c r="F803" s="6"/>
      <c r="M803" s="4"/>
      <c r="S803" s="4"/>
      <c r="U803" s="6"/>
      <c r="X803" s="4"/>
      <c r="Y803" s="4"/>
    </row>
    <row r="804">
      <c r="C804" s="6"/>
      <c r="F804" s="6"/>
      <c r="M804" s="4"/>
      <c r="S804" s="4"/>
      <c r="U804" s="6"/>
      <c r="X804" s="4"/>
      <c r="Y804" s="4"/>
    </row>
    <row r="805">
      <c r="C805" s="6"/>
      <c r="F805" s="6"/>
      <c r="M805" s="4"/>
      <c r="S805" s="4"/>
      <c r="U805" s="6"/>
      <c r="X805" s="4"/>
      <c r="Y805" s="4"/>
    </row>
    <row r="806">
      <c r="C806" s="6"/>
      <c r="F806" s="6"/>
      <c r="M806" s="4"/>
      <c r="S806" s="4"/>
      <c r="U806" s="6"/>
      <c r="X806" s="4"/>
      <c r="Y806" s="4"/>
    </row>
    <row r="807">
      <c r="C807" s="6"/>
      <c r="F807" s="6"/>
      <c r="M807" s="4"/>
      <c r="S807" s="4"/>
      <c r="U807" s="6"/>
      <c r="X807" s="4"/>
      <c r="Y807" s="4"/>
    </row>
    <row r="808">
      <c r="C808" s="6"/>
      <c r="F808" s="6"/>
      <c r="M808" s="4"/>
      <c r="S808" s="4"/>
      <c r="U808" s="6"/>
      <c r="X808" s="4"/>
      <c r="Y808" s="4"/>
    </row>
    <row r="809">
      <c r="C809" s="6"/>
      <c r="F809" s="6"/>
      <c r="M809" s="4"/>
      <c r="S809" s="4"/>
      <c r="U809" s="6"/>
      <c r="X809" s="4"/>
      <c r="Y809" s="4"/>
    </row>
    <row r="810">
      <c r="C810" s="6"/>
      <c r="F810" s="6"/>
      <c r="M810" s="4"/>
      <c r="S810" s="4"/>
      <c r="U810" s="6"/>
      <c r="X810" s="4"/>
      <c r="Y810" s="4"/>
    </row>
    <row r="811">
      <c r="C811" s="6"/>
      <c r="F811" s="6"/>
      <c r="M811" s="4"/>
      <c r="S811" s="4"/>
      <c r="U811" s="6"/>
      <c r="X811" s="4"/>
      <c r="Y811" s="4"/>
    </row>
    <row r="812">
      <c r="C812" s="6"/>
      <c r="F812" s="6"/>
      <c r="M812" s="4"/>
      <c r="S812" s="4"/>
      <c r="U812" s="6"/>
      <c r="X812" s="4"/>
      <c r="Y812" s="4"/>
    </row>
    <row r="813">
      <c r="C813" s="6"/>
      <c r="F813" s="6"/>
      <c r="M813" s="4"/>
      <c r="S813" s="4"/>
      <c r="U813" s="6"/>
      <c r="X813" s="4"/>
      <c r="Y813" s="4"/>
    </row>
    <row r="814">
      <c r="C814" s="6"/>
      <c r="F814" s="6"/>
      <c r="M814" s="4"/>
      <c r="S814" s="4"/>
      <c r="U814" s="6"/>
      <c r="X814" s="4"/>
      <c r="Y814" s="4"/>
    </row>
    <row r="815">
      <c r="C815" s="6"/>
      <c r="F815" s="6"/>
      <c r="M815" s="4"/>
      <c r="S815" s="4"/>
      <c r="U815" s="6"/>
      <c r="X815" s="4"/>
      <c r="Y815" s="4"/>
    </row>
    <row r="816">
      <c r="C816" s="6"/>
      <c r="F816" s="6"/>
      <c r="M816" s="4"/>
      <c r="S816" s="4"/>
      <c r="U816" s="6"/>
      <c r="X816" s="4"/>
      <c r="Y816" s="4"/>
    </row>
    <row r="817">
      <c r="C817" s="6"/>
      <c r="F817" s="6"/>
      <c r="M817" s="4"/>
      <c r="S817" s="4"/>
      <c r="U817" s="6"/>
      <c r="X817" s="4"/>
      <c r="Y817" s="4"/>
    </row>
    <row r="818">
      <c r="C818" s="6"/>
      <c r="F818" s="6"/>
      <c r="M818" s="4"/>
      <c r="S818" s="4"/>
      <c r="U818" s="6"/>
      <c r="X818" s="4"/>
      <c r="Y818" s="4"/>
    </row>
    <row r="819">
      <c r="C819" s="6"/>
      <c r="F819" s="6"/>
      <c r="M819" s="4"/>
      <c r="S819" s="4"/>
      <c r="U819" s="6"/>
      <c r="X819" s="4"/>
      <c r="Y819" s="4"/>
    </row>
    <row r="820">
      <c r="C820" s="6"/>
      <c r="F820" s="6"/>
      <c r="M820" s="4"/>
      <c r="S820" s="4"/>
      <c r="U820" s="6"/>
      <c r="X820" s="4"/>
      <c r="Y820" s="4"/>
    </row>
    <row r="821">
      <c r="C821" s="6"/>
      <c r="F821" s="6"/>
      <c r="M821" s="4"/>
      <c r="S821" s="4"/>
      <c r="U821" s="6"/>
      <c r="X821" s="4"/>
      <c r="Y821" s="4"/>
    </row>
    <row r="822">
      <c r="C822" s="6"/>
      <c r="F822" s="6"/>
      <c r="M822" s="4"/>
      <c r="S822" s="4"/>
      <c r="U822" s="6"/>
      <c r="X822" s="4"/>
      <c r="Y822" s="4"/>
    </row>
    <row r="823">
      <c r="C823" s="6"/>
      <c r="F823" s="6"/>
      <c r="M823" s="4"/>
      <c r="S823" s="4"/>
      <c r="U823" s="6"/>
      <c r="X823" s="4"/>
      <c r="Y823" s="4"/>
    </row>
    <row r="824">
      <c r="C824" s="6"/>
      <c r="F824" s="6"/>
      <c r="M824" s="4"/>
      <c r="S824" s="4"/>
      <c r="U824" s="6"/>
      <c r="X824" s="4"/>
      <c r="Y824" s="4"/>
    </row>
    <row r="825">
      <c r="C825" s="6"/>
      <c r="F825" s="6"/>
      <c r="M825" s="4"/>
      <c r="S825" s="4"/>
      <c r="U825" s="6"/>
      <c r="X825" s="4"/>
      <c r="Y825" s="4"/>
    </row>
    <row r="826">
      <c r="C826" s="6"/>
      <c r="F826" s="6"/>
      <c r="M826" s="4"/>
      <c r="S826" s="4"/>
      <c r="U826" s="6"/>
      <c r="X826" s="4"/>
      <c r="Y826" s="4"/>
    </row>
    <row r="827">
      <c r="C827" s="6"/>
      <c r="F827" s="6"/>
      <c r="M827" s="4"/>
      <c r="S827" s="4"/>
      <c r="U827" s="6"/>
      <c r="X827" s="4"/>
      <c r="Y827" s="4"/>
    </row>
    <row r="828">
      <c r="C828" s="6"/>
      <c r="F828" s="6"/>
      <c r="M828" s="4"/>
      <c r="S828" s="4"/>
      <c r="U828" s="6"/>
      <c r="X828" s="4"/>
      <c r="Y828" s="4"/>
    </row>
    <row r="829">
      <c r="C829" s="6"/>
      <c r="F829" s="6"/>
      <c r="M829" s="4"/>
      <c r="S829" s="4"/>
      <c r="U829" s="6"/>
      <c r="X829" s="4"/>
      <c r="Y829" s="4"/>
    </row>
    <row r="830">
      <c r="C830" s="6"/>
      <c r="F830" s="6"/>
      <c r="M830" s="4"/>
      <c r="S830" s="4"/>
      <c r="U830" s="6"/>
      <c r="X830" s="4"/>
      <c r="Y830" s="4"/>
    </row>
    <row r="831">
      <c r="C831" s="6"/>
      <c r="F831" s="6"/>
      <c r="M831" s="4"/>
      <c r="S831" s="4"/>
      <c r="U831" s="6"/>
      <c r="X831" s="4"/>
      <c r="Y831" s="4"/>
    </row>
    <row r="832">
      <c r="C832" s="6"/>
      <c r="F832" s="6"/>
      <c r="M832" s="4"/>
      <c r="S832" s="4"/>
      <c r="U832" s="6"/>
      <c r="X832" s="4"/>
      <c r="Y832" s="4"/>
    </row>
    <row r="833">
      <c r="C833" s="6"/>
      <c r="F833" s="6"/>
      <c r="M833" s="4"/>
      <c r="S833" s="4"/>
      <c r="U833" s="6"/>
      <c r="X833" s="4"/>
      <c r="Y833" s="4"/>
    </row>
    <row r="834">
      <c r="C834" s="6"/>
      <c r="F834" s="6"/>
      <c r="M834" s="4"/>
      <c r="S834" s="4"/>
      <c r="U834" s="6"/>
      <c r="X834" s="4"/>
      <c r="Y834" s="4"/>
    </row>
    <row r="835">
      <c r="C835" s="6"/>
      <c r="F835" s="6"/>
      <c r="M835" s="4"/>
      <c r="S835" s="4"/>
      <c r="U835" s="6"/>
      <c r="X835" s="4"/>
      <c r="Y835" s="4"/>
    </row>
    <row r="836">
      <c r="C836" s="6"/>
      <c r="F836" s="6"/>
      <c r="M836" s="4"/>
      <c r="S836" s="4"/>
      <c r="U836" s="6"/>
      <c r="X836" s="4"/>
      <c r="Y836" s="4"/>
    </row>
    <row r="837">
      <c r="C837" s="6"/>
      <c r="F837" s="6"/>
      <c r="M837" s="4"/>
      <c r="S837" s="4"/>
      <c r="U837" s="6"/>
      <c r="X837" s="4"/>
      <c r="Y837" s="4"/>
    </row>
    <row r="838">
      <c r="C838" s="6"/>
      <c r="F838" s="6"/>
      <c r="M838" s="4"/>
      <c r="S838" s="4"/>
      <c r="U838" s="6"/>
      <c r="X838" s="4"/>
      <c r="Y838" s="4"/>
    </row>
    <row r="839">
      <c r="C839" s="6"/>
      <c r="F839" s="6"/>
      <c r="M839" s="4"/>
      <c r="S839" s="4"/>
      <c r="U839" s="6"/>
      <c r="X839" s="4"/>
      <c r="Y839" s="4"/>
    </row>
    <row r="840">
      <c r="C840" s="6"/>
      <c r="F840" s="6"/>
      <c r="M840" s="4"/>
      <c r="S840" s="4"/>
      <c r="U840" s="6"/>
      <c r="X840" s="4"/>
      <c r="Y840" s="4"/>
    </row>
    <row r="841">
      <c r="C841" s="6"/>
      <c r="F841" s="6"/>
      <c r="M841" s="4"/>
      <c r="S841" s="4"/>
      <c r="U841" s="6"/>
      <c r="X841" s="4"/>
      <c r="Y841" s="4"/>
    </row>
    <row r="842">
      <c r="C842" s="6"/>
      <c r="F842" s="6"/>
      <c r="M842" s="4"/>
      <c r="S842" s="4"/>
      <c r="U842" s="6"/>
      <c r="X842" s="4"/>
      <c r="Y842" s="4"/>
    </row>
    <row r="843">
      <c r="C843" s="6"/>
      <c r="F843" s="6"/>
      <c r="M843" s="4"/>
      <c r="S843" s="4"/>
      <c r="U843" s="6"/>
      <c r="X843" s="4"/>
      <c r="Y843" s="4"/>
    </row>
    <row r="844">
      <c r="C844" s="6"/>
      <c r="F844" s="6"/>
      <c r="M844" s="4"/>
      <c r="S844" s="4"/>
      <c r="U844" s="6"/>
      <c r="X844" s="4"/>
      <c r="Y844" s="4"/>
    </row>
    <row r="845">
      <c r="C845" s="6"/>
      <c r="F845" s="6"/>
      <c r="M845" s="4"/>
      <c r="S845" s="4"/>
      <c r="U845" s="6"/>
      <c r="X845" s="4"/>
      <c r="Y845" s="4"/>
    </row>
    <row r="846">
      <c r="C846" s="6"/>
      <c r="F846" s="6"/>
      <c r="M846" s="4"/>
      <c r="S846" s="4"/>
      <c r="U846" s="6"/>
      <c r="X846" s="4"/>
      <c r="Y846" s="4"/>
    </row>
    <row r="847">
      <c r="C847" s="6"/>
      <c r="F847" s="6"/>
      <c r="M847" s="4"/>
      <c r="S847" s="4"/>
      <c r="U847" s="6"/>
      <c r="X847" s="4"/>
      <c r="Y847" s="4"/>
    </row>
    <row r="848">
      <c r="C848" s="6"/>
      <c r="F848" s="6"/>
      <c r="M848" s="4"/>
      <c r="S848" s="4"/>
      <c r="U848" s="6"/>
      <c r="X848" s="4"/>
      <c r="Y848" s="4"/>
    </row>
    <row r="849">
      <c r="C849" s="6"/>
      <c r="F849" s="6"/>
      <c r="M849" s="4"/>
      <c r="S849" s="4"/>
      <c r="U849" s="6"/>
      <c r="X849" s="4"/>
      <c r="Y849" s="4"/>
    </row>
    <row r="850">
      <c r="C850" s="6"/>
      <c r="F850" s="6"/>
      <c r="M850" s="4"/>
      <c r="S850" s="4"/>
      <c r="U850" s="6"/>
      <c r="X850" s="4"/>
      <c r="Y850" s="4"/>
    </row>
    <row r="851">
      <c r="C851" s="6"/>
      <c r="F851" s="6"/>
      <c r="M851" s="4"/>
      <c r="S851" s="4"/>
      <c r="U851" s="6"/>
      <c r="X851" s="4"/>
      <c r="Y851" s="4"/>
    </row>
    <row r="852">
      <c r="C852" s="6"/>
      <c r="F852" s="6"/>
      <c r="M852" s="4"/>
      <c r="S852" s="4"/>
      <c r="U852" s="6"/>
      <c r="X852" s="4"/>
      <c r="Y852" s="4"/>
    </row>
    <row r="853">
      <c r="C853" s="6"/>
      <c r="F853" s="6"/>
      <c r="M853" s="4"/>
      <c r="S853" s="4"/>
      <c r="U853" s="6"/>
      <c r="X853" s="4"/>
      <c r="Y853" s="4"/>
    </row>
    <row r="854">
      <c r="C854" s="6"/>
      <c r="F854" s="6"/>
      <c r="M854" s="4"/>
      <c r="S854" s="4"/>
      <c r="U854" s="6"/>
      <c r="X854" s="4"/>
      <c r="Y854" s="4"/>
    </row>
    <row r="855">
      <c r="C855" s="6"/>
      <c r="F855" s="6"/>
      <c r="M855" s="4"/>
      <c r="S855" s="4"/>
      <c r="U855" s="6"/>
      <c r="X855" s="4"/>
      <c r="Y855" s="4"/>
    </row>
    <row r="856">
      <c r="C856" s="6"/>
      <c r="F856" s="6"/>
      <c r="M856" s="4"/>
      <c r="S856" s="4"/>
      <c r="U856" s="6"/>
      <c r="X856" s="4"/>
      <c r="Y856" s="4"/>
    </row>
    <row r="857">
      <c r="C857" s="6"/>
      <c r="F857" s="6"/>
      <c r="M857" s="4"/>
      <c r="S857" s="4"/>
      <c r="U857" s="6"/>
      <c r="X857" s="4"/>
      <c r="Y857" s="4"/>
    </row>
    <row r="858">
      <c r="C858" s="6"/>
      <c r="F858" s="6"/>
      <c r="M858" s="4"/>
      <c r="S858" s="4"/>
      <c r="U858" s="6"/>
      <c r="X858" s="4"/>
      <c r="Y858" s="4"/>
    </row>
    <row r="859">
      <c r="C859" s="6"/>
      <c r="F859" s="6"/>
      <c r="M859" s="4"/>
      <c r="S859" s="4"/>
      <c r="U859" s="6"/>
      <c r="X859" s="4"/>
      <c r="Y859" s="4"/>
    </row>
    <row r="860">
      <c r="C860" s="6"/>
      <c r="F860" s="6"/>
      <c r="M860" s="4"/>
      <c r="S860" s="4"/>
      <c r="U860" s="6"/>
      <c r="X860" s="4"/>
      <c r="Y860" s="4"/>
    </row>
    <row r="861">
      <c r="C861" s="6"/>
      <c r="F861" s="6"/>
      <c r="M861" s="4"/>
      <c r="S861" s="4"/>
      <c r="U861" s="6"/>
      <c r="X861" s="4"/>
      <c r="Y861" s="4"/>
    </row>
    <row r="862">
      <c r="C862" s="6"/>
      <c r="F862" s="6"/>
      <c r="M862" s="4"/>
      <c r="S862" s="4"/>
      <c r="U862" s="6"/>
      <c r="X862" s="4"/>
      <c r="Y862" s="4"/>
    </row>
    <row r="863">
      <c r="C863" s="6"/>
      <c r="F863" s="6"/>
      <c r="M863" s="4"/>
      <c r="S863" s="4"/>
      <c r="U863" s="6"/>
      <c r="X863" s="4"/>
      <c r="Y863" s="4"/>
    </row>
    <row r="864">
      <c r="C864" s="6"/>
      <c r="F864" s="6"/>
      <c r="M864" s="4"/>
      <c r="S864" s="4"/>
      <c r="U864" s="6"/>
      <c r="X864" s="4"/>
      <c r="Y864" s="4"/>
    </row>
    <row r="865">
      <c r="C865" s="6"/>
      <c r="F865" s="6"/>
      <c r="M865" s="4"/>
      <c r="S865" s="4"/>
      <c r="U865" s="6"/>
      <c r="X865" s="4"/>
      <c r="Y865" s="4"/>
    </row>
    <row r="866">
      <c r="C866" s="6"/>
      <c r="F866" s="6"/>
      <c r="M866" s="4"/>
      <c r="S866" s="4"/>
      <c r="U866" s="6"/>
      <c r="X866" s="4"/>
      <c r="Y866" s="4"/>
    </row>
    <row r="867">
      <c r="C867" s="6"/>
      <c r="F867" s="6"/>
      <c r="M867" s="4"/>
      <c r="S867" s="4"/>
      <c r="U867" s="6"/>
      <c r="X867" s="4"/>
      <c r="Y867" s="4"/>
    </row>
    <row r="868">
      <c r="C868" s="6"/>
      <c r="F868" s="6"/>
      <c r="M868" s="4"/>
      <c r="S868" s="4"/>
      <c r="U868" s="6"/>
      <c r="X868" s="4"/>
      <c r="Y868" s="4"/>
    </row>
    <row r="869">
      <c r="C869" s="6"/>
      <c r="F869" s="6"/>
      <c r="M869" s="4"/>
      <c r="S869" s="4"/>
      <c r="U869" s="6"/>
      <c r="X869" s="4"/>
      <c r="Y869" s="4"/>
    </row>
    <row r="870">
      <c r="C870" s="6"/>
      <c r="F870" s="6"/>
      <c r="M870" s="4"/>
      <c r="S870" s="4"/>
      <c r="U870" s="6"/>
      <c r="X870" s="4"/>
      <c r="Y870" s="4"/>
    </row>
    <row r="871">
      <c r="C871" s="6"/>
      <c r="F871" s="6"/>
      <c r="M871" s="4"/>
      <c r="S871" s="4"/>
      <c r="U871" s="6"/>
      <c r="X871" s="4"/>
      <c r="Y871" s="4"/>
    </row>
    <row r="872">
      <c r="C872" s="6"/>
      <c r="F872" s="6"/>
      <c r="M872" s="4"/>
      <c r="S872" s="4"/>
      <c r="U872" s="6"/>
      <c r="X872" s="4"/>
      <c r="Y872" s="4"/>
    </row>
    <row r="873">
      <c r="C873" s="6"/>
      <c r="F873" s="6"/>
      <c r="M873" s="4"/>
      <c r="S873" s="4"/>
      <c r="U873" s="6"/>
      <c r="X873" s="4"/>
      <c r="Y873" s="4"/>
    </row>
    <row r="874">
      <c r="C874" s="6"/>
      <c r="F874" s="6"/>
      <c r="M874" s="4"/>
      <c r="S874" s="4"/>
      <c r="U874" s="6"/>
      <c r="X874" s="4"/>
      <c r="Y874" s="4"/>
    </row>
    <row r="875">
      <c r="C875" s="6"/>
      <c r="F875" s="6"/>
      <c r="M875" s="4"/>
      <c r="S875" s="4"/>
      <c r="U875" s="6"/>
      <c r="X875" s="4"/>
      <c r="Y875" s="4"/>
    </row>
    <row r="876">
      <c r="C876" s="6"/>
      <c r="F876" s="6"/>
      <c r="M876" s="4"/>
      <c r="S876" s="4"/>
      <c r="U876" s="6"/>
      <c r="X876" s="4"/>
      <c r="Y876" s="4"/>
    </row>
    <row r="877">
      <c r="C877" s="6"/>
      <c r="F877" s="6"/>
      <c r="M877" s="4"/>
      <c r="S877" s="4"/>
      <c r="U877" s="6"/>
      <c r="X877" s="4"/>
      <c r="Y877" s="4"/>
    </row>
    <row r="878">
      <c r="C878" s="6"/>
      <c r="F878" s="6"/>
      <c r="M878" s="4"/>
      <c r="S878" s="4"/>
      <c r="U878" s="6"/>
      <c r="X878" s="4"/>
      <c r="Y878" s="4"/>
    </row>
    <row r="879">
      <c r="C879" s="6"/>
      <c r="F879" s="6"/>
      <c r="M879" s="4"/>
      <c r="S879" s="4"/>
      <c r="U879" s="6"/>
      <c r="X879" s="4"/>
      <c r="Y879" s="4"/>
    </row>
    <row r="880">
      <c r="C880" s="6"/>
      <c r="F880" s="6"/>
      <c r="M880" s="4"/>
      <c r="S880" s="4"/>
      <c r="U880" s="6"/>
      <c r="X880" s="4"/>
      <c r="Y880" s="4"/>
    </row>
    <row r="881">
      <c r="C881" s="6"/>
      <c r="F881" s="6"/>
      <c r="M881" s="4"/>
      <c r="S881" s="4"/>
      <c r="U881" s="6"/>
      <c r="X881" s="4"/>
      <c r="Y881" s="4"/>
    </row>
    <row r="882">
      <c r="C882" s="6"/>
      <c r="F882" s="6"/>
      <c r="M882" s="4"/>
      <c r="S882" s="4"/>
      <c r="U882" s="6"/>
      <c r="X882" s="4"/>
      <c r="Y882" s="4"/>
    </row>
    <row r="883">
      <c r="C883" s="6"/>
      <c r="F883" s="6"/>
      <c r="M883" s="4"/>
      <c r="S883" s="4"/>
      <c r="U883" s="6"/>
      <c r="X883" s="4"/>
      <c r="Y883" s="4"/>
    </row>
    <row r="884">
      <c r="C884" s="6"/>
      <c r="F884" s="6"/>
      <c r="M884" s="4"/>
      <c r="S884" s="4"/>
      <c r="U884" s="6"/>
      <c r="X884" s="4"/>
      <c r="Y884" s="4"/>
    </row>
    <row r="885">
      <c r="C885" s="6"/>
      <c r="F885" s="6"/>
      <c r="M885" s="4"/>
      <c r="S885" s="4"/>
      <c r="U885" s="6"/>
      <c r="X885" s="4"/>
      <c r="Y885" s="4"/>
    </row>
    <row r="886">
      <c r="C886" s="6"/>
      <c r="F886" s="6"/>
      <c r="M886" s="4"/>
      <c r="S886" s="4"/>
      <c r="U886" s="6"/>
      <c r="X886" s="4"/>
      <c r="Y886" s="4"/>
    </row>
    <row r="887">
      <c r="C887" s="6"/>
      <c r="F887" s="6"/>
      <c r="M887" s="4"/>
      <c r="S887" s="4"/>
      <c r="U887" s="6"/>
      <c r="X887" s="4"/>
      <c r="Y887" s="4"/>
    </row>
    <row r="888">
      <c r="C888" s="6"/>
      <c r="F888" s="6"/>
      <c r="M888" s="4"/>
      <c r="S888" s="4"/>
      <c r="U888" s="6"/>
      <c r="X888" s="4"/>
      <c r="Y888" s="4"/>
    </row>
    <row r="889">
      <c r="C889" s="6"/>
      <c r="F889" s="6"/>
      <c r="M889" s="4"/>
      <c r="S889" s="4"/>
      <c r="U889" s="6"/>
      <c r="X889" s="4"/>
      <c r="Y889" s="4"/>
    </row>
    <row r="890">
      <c r="C890" s="6"/>
      <c r="F890" s="6"/>
      <c r="M890" s="4"/>
      <c r="S890" s="4"/>
      <c r="U890" s="6"/>
      <c r="X890" s="4"/>
      <c r="Y890" s="4"/>
    </row>
    <row r="891">
      <c r="C891" s="6"/>
      <c r="F891" s="6"/>
      <c r="M891" s="4"/>
      <c r="S891" s="4"/>
      <c r="U891" s="6"/>
      <c r="X891" s="4"/>
      <c r="Y891" s="4"/>
    </row>
    <row r="892">
      <c r="C892" s="6"/>
      <c r="F892" s="6"/>
      <c r="M892" s="4"/>
      <c r="S892" s="4"/>
      <c r="U892" s="6"/>
      <c r="X892" s="4"/>
      <c r="Y892" s="4"/>
    </row>
    <row r="893">
      <c r="C893" s="6"/>
      <c r="F893" s="6"/>
      <c r="M893" s="4"/>
      <c r="S893" s="4"/>
      <c r="U893" s="6"/>
      <c r="X893" s="4"/>
      <c r="Y893" s="4"/>
    </row>
    <row r="894">
      <c r="C894" s="6"/>
      <c r="F894" s="6"/>
      <c r="M894" s="4"/>
      <c r="S894" s="4"/>
      <c r="U894" s="6"/>
      <c r="X894" s="4"/>
      <c r="Y894" s="4"/>
    </row>
    <row r="895">
      <c r="C895" s="6"/>
      <c r="F895" s="6"/>
      <c r="M895" s="4"/>
      <c r="S895" s="4"/>
      <c r="U895" s="6"/>
      <c r="X895" s="4"/>
      <c r="Y895" s="4"/>
    </row>
    <row r="896">
      <c r="C896" s="6"/>
      <c r="F896" s="6"/>
      <c r="M896" s="4"/>
      <c r="S896" s="4"/>
      <c r="U896" s="6"/>
      <c r="X896" s="4"/>
      <c r="Y896" s="4"/>
    </row>
    <row r="897">
      <c r="C897" s="6"/>
      <c r="F897" s="6"/>
      <c r="M897" s="4"/>
      <c r="S897" s="4"/>
      <c r="U897" s="6"/>
      <c r="X897" s="4"/>
      <c r="Y897" s="4"/>
    </row>
    <row r="898">
      <c r="C898" s="6"/>
      <c r="F898" s="6"/>
      <c r="M898" s="4"/>
      <c r="S898" s="4"/>
      <c r="U898" s="6"/>
      <c r="X898" s="4"/>
      <c r="Y898" s="4"/>
    </row>
    <row r="899">
      <c r="C899" s="6"/>
      <c r="F899" s="6"/>
      <c r="M899" s="4"/>
      <c r="S899" s="4"/>
      <c r="U899" s="6"/>
      <c r="X899" s="4"/>
      <c r="Y899" s="4"/>
    </row>
    <row r="900">
      <c r="C900" s="6"/>
      <c r="F900" s="6"/>
      <c r="M900" s="4"/>
      <c r="S900" s="4"/>
      <c r="U900" s="6"/>
      <c r="X900" s="4"/>
      <c r="Y900" s="4"/>
    </row>
    <row r="901">
      <c r="C901" s="6"/>
      <c r="F901" s="6"/>
      <c r="M901" s="4"/>
      <c r="S901" s="4"/>
      <c r="U901" s="6"/>
      <c r="X901" s="4"/>
      <c r="Y901" s="4"/>
    </row>
    <row r="902">
      <c r="C902" s="6"/>
      <c r="F902" s="6"/>
      <c r="M902" s="4"/>
      <c r="S902" s="4"/>
      <c r="U902" s="6"/>
      <c r="X902" s="4"/>
      <c r="Y902" s="4"/>
    </row>
    <row r="903">
      <c r="C903" s="6"/>
      <c r="F903" s="6"/>
      <c r="M903" s="4"/>
      <c r="S903" s="4"/>
      <c r="U903" s="6"/>
      <c r="X903" s="4"/>
      <c r="Y903" s="4"/>
    </row>
    <row r="904">
      <c r="C904" s="6"/>
      <c r="F904" s="6"/>
      <c r="M904" s="4"/>
      <c r="S904" s="4"/>
      <c r="U904" s="6"/>
      <c r="X904" s="4"/>
      <c r="Y904" s="4"/>
    </row>
    <row r="905">
      <c r="C905" s="6"/>
      <c r="F905" s="6"/>
      <c r="M905" s="4"/>
      <c r="S905" s="4"/>
      <c r="U905" s="6"/>
      <c r="X905" s="4"/>
      <c r="Y905" s="4"/>
    </row>
    <row r="906">
      <c r="C906" s="6"/>
      <c r="F906" s="6"/>
      <c r="M906" s="4"/>
      <c r="S906" s="4"/>
      <c r="U906" s="6"/>
      <c r="X906" s="4"/>
      <c r="Y906" s="4"/>
    </row>
    <row r="907">
      <c r="C907" s="6"/>
      <c r="F907" s="6"/>
      <c r="M907" s="4"/>
      <c r="S907" s="4"/>
      <c r="U907" s="6"/>
      <c r="X907" s="4"/>
      <c r="Y907" s="4"/>
    </row>
    <row r="908">
      <c r="C908" s="6"/>
      <c r="F908" s="6"/>
      <c r="M908" s="4"/>
      <c r="S908" s="4"/>
      <c r="U908" s="6"/>
      <c r="X908" s="4"/>
      <c r="Y908" s="4"/>
    </row>
    <row r="909">
      <c r="C909" s="6"/>
      <c r="F909" s="6"/>
      <c r="M909" s="4"/>
      <c r="S909" s="4"/>
      <c r="U909" s="6"/>
      <c r="X909" s="4"/>
      <c r="Y909" s="4"/>
    </row>
    <row r="910">
      <c r="C910" s="6"/>
      <c r="F910" s="6"/>
      <c r="M910" s="4"/>
      <c r="S910" s="4"/>
      <c r="U910" s="6"/>
      <c r="X910" s="4"/>
      <c r="Y910" s="4"/>
    </row>
    <row r="911">
      <c r="C911" s="6"/>
      <c r="F911" s="6"/>
      <c r="M911" s="4"/>
      <c r="S911" s="4"/>
      <c r="U911" s="6"/>
      <c r="X911" s="4"/>
      <c r="Y911" s="4"/>
    </row>
    <row r="912">
      <c r="C912" s="6"/>
      <c r="F912" s="6"/>
      <c r="M912" s="4"/>
      <c r="S912" s="4"/>
      <c r="U912" s="6"/>
      <c r="X912" s="4"/>
      <c r="Y912" s="4"/>
    </row>
    <row r="913">
      <c r="C913" s="6"/>
      <c r="F913" s="6"/>
      <c r="M913" s="4"/>
      <c r="S913" s="4"/>
      <c r="U913" s="6"/>
      <c r="X913" s="4"/>
      <c r="Y913" s="4"/>
    </row>
    <row r="914">
      <c r="C914" s="6"/>
      <c r="F914" s="6"/>
      <c r="M914" s="4"/>
      <c r="S914" s="4"/>
      <c r="U914" s="6"/>
      <c r="X914" s="4"/>
      <c r="Y914" s="4"/>
    </row>
    <row r="915">
      <c r="C915" s="6"/>
      <c r="F915" s="6"/>
      <c r="M915" s="4"/>
      <c r="S915" s="4"/>
      <c r="U915" s="6"/>
      <c r="X915" s="4"/>
      <c r="Y915" s="4"/>
    </row>
    <row r="916">
      <c r="C916" s="6"/>
      <c r="F916" s="6"/>
      <c r="M916" s="4"/>
      <c r="S916" s="4"/>
      <c r="U916" s="6"/>
      <c r="X916" s="4"/>
      <c r="Y916" s="4"/>
    </row>
    <row r="917">
      <c r="C917" s="6"/>
      <c r="F917" s="6"/>
      <c r="M917" s="4"/>
      <c r="S917" s="4"/>
      <c r="U917" s="6"/>
      <c r="X917" s="4"/>
      <c r="Y917" s="4"/>
    </row>
    <row r="918">
      <c r="C918" s="6"/>
      <c r="F918" s="6"/>
      <c r="M918" s="4"/>
      <c r="S918" s="4"/>
      <c r="U918" s="6"/>
      <c r="X918" s="4"/>
      <c r="Y918" s="4"/>
    </row>
    <row r="919">
      <c r="C919" s="6"/>
      <c r="F919" s="6"/>
      <c r="M919" s="4"/>
      <c r="S919" s="4"/>
      <c r="U919" s="6"/>
      <c r="X919" s="4"/>
      <c r="Y919" s="4"/>
    </row>
    <row r="920">
      <c r="C920" s="6"/>
      <c r="F920" s="6"/>
      <c r="M920" s="4"/>
      <c r="S920" s="4"/>
      <c r="U920" s="6"/>
      <c r="X920" s="4"/>
      <c r="Y920" s="4"/>
    </row>
    <row r="921">
      <c r="C921" s="6"/>
      <c r="F921" s="6"/>
      <c r="M921" s="4"/>
      <c r="S921" s="4"/>
      <c r="U921" s="6"/>
      <c r="X921" s="4"/>
      <c r="Y921" s="4"/>
    </row>
    <row r="922">
      <c r="C922" s="6"/>
      <c r="F922" s="6"/>
      <c r="M922" s="4"/>
      <c r="S922" s="4"/>
      <c r="U922" s="6"/>
      <c r="X922" s="4"/>
      <c r="Y922" s="4"/>
    </row>
    <row r="923">
      <c r="C923" s="6"/>
      <c r="F923" s="6"/>
      <c r="M923" s="4"/>
      <c r="S923" s="4"/>
      <c r="U923" s="6"/>
      <c r="X923" s="4"/>
      <c r="Y923" s="4"/>
    </row>
    <row r="924">
      <c r="C924" s="6"/>
      <c r="F924" s="6"/>
      <c r="M924" s="4"/>
      <c r="S924" s="4"/>
      <c r="U924" s="6"/>
      <c r="X924" s="4"/>
      <c r="Y924" s="4"/>
    </row>
    <row r="925">
      <c r="C925" s="6"/>
      <c r="F925" s="6"/>
      <c r="M925" s="4"/>
      <c r="S925" s="4"/>
      <c r="U925" s="6"/>
      <c r="X925" s="4"/>
      <c r="Y925" s="4"/>
    </row>
    <row r="926">
      <c r="C926" s="6"/>
      <c r="F926" s="6"/>
      <c r="M926" s="4"/>
      <c r="S926" s="4"/>
      <c r="U926" s="6"/>
      <c r="X926" s="4"/>
      <c r="Y926" s="4"/>
    </row>
    <row r="927">
      <c r="C927" s="6"/>
      <c r="F927" s="6"/>
      <c r="M927" s="4"/>
      <c r="S927" s="4"/>
      <c r="U927" s="6"/>
      <c r="X927" s="4"/>
      <c r="Y927" s="4"/>
    </row>
    <row r="928">
      <c r="C928" s="6"/>
      <c r="F928" s="6"/>
      <c r="M928" s="4"/>
      <c r="S928" s="4"/>
      <c r="U928" s="6"/>
      <c r="X928" s="4"/>
      <c r="Y928" s="4"/>
    </row>
    <row r="929">
      <c r="C929" s="6"/>
      <c r="F929" s="6"/>
      <c r="M929" s="4"/>
      <c r="S929" s="4"/>
      <c r="U929" s="6"/>
      <c r="X929" s="4"/>
      <c r="Y929" s="4"/>
    </row>
    <row r="930">
      <c r="C930" s="6"/>
      <c r="F930" s="6"/>
      <c r="M930" s="4"/>
      <c r="S930" s="4"/>
      <c r="U930" s="6"/>
      <c r="X930" s="4"/>
      <c r="Y930" s="4"/>
    </row>
    <row r="931">
      <c r="C931" s="6"/>
      <c r="F931" s="6"/>
      <c r="M931" s="4"/>
      <c r="S931" s="4"/>
      <c r="U931" s="6"/>
      <c r="X931" s="4"/>
      <c r="Y931" s="4"/>
    </row>
    <row r="932">
      <c r="C932" s="6"/>
      <c r="F932" s="6"/>
      <c r="M932" s="4"/>
      <c r="S932" s="4"/>
      <c r="U932" s="6"/>
      <c r="X932" s="4"/>
      <c r="Y932" s="4"/>
    </row>
    <row r="933">
      <c r="C933" s="6"/>
      <c r="F933" s="6"/>
      <c r="M933" s="4"/>
      <c r="S933" s="4"/>
      <c r="U933" s="6"/>
      <c r="X933" s="4"/>
      <c r="Y933" s="4"/>
    </row>
    <row r="934">
      <c r="C934" s="6"/>
      <c r="F934" s="6"/>
      <c r="M934" s="4"/>
      <c r="S934" s="4"/>
      <c r="U934" s="6"/>
      <c r="X934" s="4"/>
      <c r="Y934" s="4"/>
    </row>
    <row r="935">
      <c r="C935" s="6"/>
      <c r="F935" s="6"/>
      <c r="M935" s="4"/>
      <c r="S935" s="4"/>
      <c r="U935" s="6"/>
      <c r="X935" s="4"/>
      <c r="Y935" s="4"/>
    </row>
    <row r="936">
      <c r="C936" s="6"/>
      <c r="F936" s="6"/>
      <c r="M936" s="4"/>
      <c r="S936" s="4"/>
      <c r="U936" s="6"/>
      <c r="X936" s="4"/>
      <c r="Y936" s="4"/>
    </row>
    <row r="937">
      <c r="C937" s="6"/>
      <c r="F937" s="6"/>
      <c r="M937" s="4"/>
      <c r="S937" s="4"/>
      <c r="U937" s="6"/>
      <c r="X937" s="4"/>
      <c r="Y937" s="4"/>
    </row>
    <row r="938">
      <c r="C938" s="6"/>
      <c r="F938" s="6"/>
      <c r="M938" s="4"/>
      <c r="S938" s="4"/>
      <c r="U938" s="6"/>
      <c r="X938" s="4"/>
      <c r="Y938" s="4"/>
    </row>
    <row r="939">
      <c r="C939" s="6"/>
      <c r="F939" s="6"/>
      <c r="M939" s="4"/>
      <c r="S939" s="4"/>
      <c r="U939" s="6"/>
      <c r="X939" s="4"/>
      <c r="Y939" s="4"/>
    </row>
    <row r="940">
      <c r="C940" s="6"/>
      <c r="F940" s="6"/>
      <c r="M940" s="4"/>
      <c r="S940" s="4"/>
      <c r="U940" s="6"/>
      <c r="X940" s="4"/>
      <c r="Y940" s="4"/>
    </row>
    <row r="941">
      <c r="C941" s="6"/>
      <c r="F941" s="6"/>
      <c r="M941" s="4"/>
      <c r="S941" s="4"/>
      <c r="U941" s="6"/>
      <c r="X941" s="4"/>
      <c r="Y941" s="4"/>
    </row>
    <row r="942">
      <c r="C942" s="6"/>
      <c r="F942" s="6"/>
      <c r="M942" s="4"/>
      <c r="S942" s="4"/>
      <c r="U942" s="6"/>
      <c r="X942" s="4"/>
      <c r="Y942" s="4"/>
    </row>
    <row r="943">
      <c r="C943" s="6"/>
      <c r="F943" s="6"/>
      <c r="M943" s="4"/>
      <c r="S943" s="4"/>
      <c r="U943" s="6"/>
      <c r="X943" s="4"/>
      <c r="Y943" s="4"/>
    </row>
    <row r="944">
      <c r="C944" s="6"/>
      <c r="F944" s="6"/>
      <c r="M944" s="4"/>
      <c r="S944" s="4"/>
      <c r="U944" s="6"/>
      <c r="X944" s="4"/>
      <c r="Y944" s="4"/>
    </row>
    <row r="945">
      <c r="C945" s="6"/>
      <c r="F945" s="6"/>
      <c r="M945" s="4"/>
      <c r="S945" s="4"/>
      <c r="U945" s="6"/>
      <c r="X945" s="4"/>
      <c r="Y945" s="4"/>
    </row>
    <row r="946">
      <c r="C946" s="6"/>
      <c r="F946" s="6"/>
      <c r="M946" s="4"/>
      <c r="S946" s="4"/>
      <c r="U946" s="6"/>
      <c r="X946" s="4"/>
      <c r="Y946" s="4"/>
    </row>
    <row r="947">
      <c r="C947" s="6"/>
      <c r="F947" s="6"/>
      <c r="M947" s="4"/>
      <c r="S947" s="4"/>
      <c r="U947" s="6"/>
      <c r="X947" s="4"/>
      <c r="Y947" s="4"/>
    </row>
    <row r="948">
      <c r="C948" s="6"/>
      <c r="F948" s="6"/>
      <c r="M948" s="4"/>
      <c r="S948" s="4"/>
      <c r="U948" s="6"/>
      <c r="X948" s="4"/>
      <c r="Y948" s="4"/>
    </row>
    <row r="949">
      <c r="C949" s="6"/>
      <c r="F949" s="6"/>
      <c r="M949" s="4"/>
      <c r="S949" s="4"/>
      <c r="U949" s="6"/>
      <c r="X949" s="4"/>
      <c r="Y949" s="4"/>
    </row>
    <row r="950">
      <c r="C950" s="6"/>
      <c r="F950" s="6"/>
      <c r="M950" s="4"/>
      <c r="S950" s="4"/>
      <c r="U950" s="6"/>
      <c r="X950" s="4"/>
      <c r="Y950" s="4"/>
    </row>
    <row r="951">
      <c r="C951" s="6"/>
      <c r="F951" s="6"/>
      <c r="M951" s="4"/>
      <c r="S951" s="4"/>
      <c r="U951" s="6"/>
      <c r="X951" s="4"/>
      <c r="Y951" s="4"/>
    </row>
    <row r="952">
      <c r="C952" s="6"/>
      <c r="F952" s="6"/>
      <c r="M952" s="4"/>
      <c r="S952" s="4"/>
      <c r="U952" s="6"/>
      <c r="X952" s="4"/>
      <c r="Y952" s="4"/>
    </row>
    <row r="953">
      <c r="C953" s="6"/>
      <c r="F953" s="6"/>
      <c r="M953" s="4"/>
      <c r="S953" s="4"/>
      <c r="U953" s="6"/>
      <c r="X953" s="4"/>
      <c r="Y953" s="4"/>
    </row>
    <row r="954">
      <c r="C954" s="6"/>
      <c r="F954" s="6"/>
      <c r="M954" s="4"/>
      <c r="S954" s="4"/>
      <c r="U954" s="6"/>
      <c r="X954" s="4"/>
      <c r="Y954" s="4"/>
    </row>
    <row r="955">
      <c r="C955" s="6"/>
      <c r="F955" s="6"/>
      <c r="M955" s="4"/>
      <c r="S955" s="4"/>
      <c r="U955" s="6"/>
      <c r="X955" s="4"/>
      <c r="Y955" s="4"/>
    </row>
    <row r="956">
      <c r="C956" s="6"/>
      <c r="F956" s="6"/>
      <c r="M956" s="4"/>
      <c r="S956" s="4"/>
      <c r="U956" s="6"/>
      <c r="X956" s="4"/>
      <c r="Y956" s="4"/>
    </row>
    <row r="957">
      <c r="C957" s="6"/>
      <c r="F957" s="6"/>
      <c r="M957" s="4"/>
      <c r="S957" s="4"/>
      <c r="U957" s="6"/>
      <c r="X957" s="4"/>
      <c r="Y957" s="4"/>
    </row>
    <row r="958">
      <c r="C958" s="6"/>
      <c r="F958" s="6"/>
      <c r="M958" s="4"/>
      <c r="S958" s="4"/>
      <c r="U958" s="6"/>
      <c r="X958" s="4"/>
      <c r="Y958" s="4"/>
    </row>
    <row r="959">
      <c r="C959" s="6"/>
      <c r="F959" s="6"/>
      <c r="M959" s="4"/>
      <c r="S959" s="4"/>
      <c r="U959" s="6"/>
      <c r="X959" s="4"/>
      <c r="Y959" s="4"/>
    </row>
    <row r="960">
      <c r="C960" s="6"/>
      <c r="F960" s="6"/>
      <c r="M960" s="4"/>
      <c r="S960" s="4"/>
      <c r="U960" s="6"/>
      <c r="X960" s="4"/>
      <c r="Y960" s="4"/>
    </row>
    <row r="961">
      <c r="C961" s="6"/>
      <c r="F961" s="6"/>
      <c r="M961" s="4"/>
      <c r="S961" s="4"/>
      <c r="U961" s="6"/>
      <c r="X961" s="4"/>
      <c r="Y961" s="4"/>
    </row>
    <row r="962">
      <c r="C962" s="6"/>
      <c r="F962" s="6"/>
      <c r="M962" s="4"/>
      <c r="S962" s="4"/>
      <c r="U962" s="6"/>
      <c r="X962" s="4"/>
      <c r="Y962" s="4"/>
    </row>
    <row r="963">
      <c r="C963" s="6"/>
      <c r="F963" s="6"/>
      <c r="M963" s="4"/>
      <c r="S963" s="4"/>
      <c r="U963" s="6"/>
      <c r="X963" s="4"/>
      <c r="Y963" s="4"/>
    </row>
    <row r="964">
      <c r="C964" s="6"/>
      <c r="F964" s="6"/>
      <c r="M964" s="4"/>
      <c r="S964" s="4"/>
      <c r="U964" s="6"/>
      <c r="X964" s="4"/>
      <c r="Y964" s="4"/>
    </row>
    <row r="965">
      <c r="C965" s="6"/>
      <c r="F965" s="6"/>
      <c r="M965" s="4"/>
      <c r="S965" s="4"/>
      <c r="U965" s="6"/>
      <c r="X965" s="4"/>
      <c r="Y965" s="4"/>
    </row>
    <row r="966">
      <c r="C966" s="6"/>
      <c r="F966" s="6"/>
      <c r="M966" s="4"/>
      <c r="S966" s="4"/>
      <c r="U966" s="6"/>
      <c r="X966" s="4"/>
      <c r="Y966" s="4"/>
    </row>
    <row r="967">
      <c r="C967" s="6"/>
      <c r="F967" s="6"/>
      <c r="M967" s="4"/>
      <c r="S967" s="4"/>
      <c r="U967" s="6"/>
      <c r="X967" s="4"/>
      <c r="Y967" s="4"/>
    </row>
    <row r="968">
      <c r="C968" s="6"/>
      <c r="F968" s="6"/>
      <c r="M968" s="4"/>
      <c r="S968" s="4"/>
      <c r="U968" s="6"/>
      <c r="X968" s="4"/>
      <c r="Y968" s="4"/>
    </row>
    <row r="969">
      <c r="C969" s="6"/>
      <c r="F969" s="6"/>
      <c r="M969" s="4"/>
      <c r="S969" s="4"/>
      <c r="U969" s="6"/>
      <c r="X969" s="4"/>
      <c r="Y969" s="4"/>
    </row>
    <row r="970">
      <c r="C970" s="6"/>
      <c r="F970" s="6"/>
      <c r="M970" s="4"/>
      <c r="S970" s="4"/>
      <c r="U970" s="6"/>
      <c r="X970" s="4"/>
      <c r="Y970" s="4"/>
    </row>
    <row r="971">
      <c r="C971" s="6"/>
      <c r="F971" s="6"/>
      <c r="M971" s="4"/>
      <c r="S971" s="4"/>
      <c r="U971" s="6"/>
      <c r="X971" s="4"/>
      <c r="Y971" s="4"/>
    </row>
    <row r="972">
      <c r="C972" s="6"/>
      <c r="F972" s="6"/>
      <c r="M972" s="4"/>
      <c r="S972" s="4"/>
      <c r="U972" s="6"/>
      <c r="X972" s="4"/>
      <c r="Y972" s="4"/>
    </row>
    <row r="973">
      <c r="C973" s="6"/>
      <c r="F973" s="6"/>
      <c r="M973" s="4"/>
      <c r="S973" s="4"/>
      <c r="U973" s="6"/>
      <c r="X973" s="4"/>
      <c r="Y973" s="4"/>
    </row>
    <row r="974">
      <c r="C974" s="6"/>
      <c r="F974" s="6"/>
      <c r="M974" s="4"/>
      <c r="S974" s="4"/>
      <c r="U974" s="6"/>
      <c r="X974" s="4"/>
      <c r="Y974" s="4"/>
    </row>
    <row r="975">
      <c r="C975" s="6"/>
      <c r="F975" s="6"/>
      <c r="M975" s="4"/>
      <c r="S975" s="4"/>
      <c r="U975" s="6"/>
      <c r="X975" s="4"/>
      <c r="Y975" s="4"/>
    </row>
    <row r="976">
      <c r="C976" s="6"/>
      <c r="F976" s="6"/>
      <c r="M976" s="4"/>
      <c r="S976" s="4"/>
      <c r="U976" s="6"/>
      <c r="X976" s="4"/>
      <c r="Y976" s="4"/>
    </row>
    <row r="977">
      <c r="C977" s="6"/>
      <c r="F977" s="6"/>
      <c r="M977" s="4"/>
      <c r="S977" s="4"/>
      <c r="U977" s="6"/>
      <c r="X977" s="4"/>
      <c r="Y977" s="4"/>
    </row>
    <row r="978">
      <c r="C978" s="6"/>
      <c r="F978" s="6"/>
      <c r="M978" s="4"/>
      <c r="S978" s="4"/>
      <c r="U978" s="6"/>
      <c r="X978" s="4"/>
      <c r="Y978" s="4"/>
    </row>
    <row r="979">
      <c r="C979" s="6"/>
      <c r="F979" s="6"/>
      <c r="M979" s="4"/>
      <c r="S979" s="4"/>
      <c r="U979" s="6"/>
      <c r="X979" s="4"/>
      <c r="Y979" s="4"/>
    </row>
    <row r="980">
      <c r="C980" s="6"/>
      <c r="F980" s="6"/>
      <c r="M980" s="4"/>
      <c r="S980" s="4"/>
      <c r="U980" s="6"/>
      <c r="X980" s="4"/>
      <c r="Y980" s="4"/>
    </row>
    <row r="981">
      <c r="C981" s="6"/>
      <c r="F981" s="6"/>
      <c r="M981" s="4"/>
      <c r="S981" s="4"/>
      <c r="U981" s="6"/>
      <c r="X981" s="4"/>
      <c r="Y981" s="4"/>
    </row>
    <row r="982">
      <c r="C982" s="6"/>
      <c r="F982" s="6"/>
      <c r="M982" s="4"/>
      <c r="S982" s="4"/>
      <c r="U982" s="6"/>
      <c r="X982" s="4"/>
      <c r="Y982" s="4"/>
    </row>
    <row r="983">
      <c r="C983" s="6"/>
      <c r="F983" s="6"/>
      <c r="M983" s="4"/>
      <c r="S983" s="4"/>
      <c r="U983" s="6"/>
      <c r="X983" s="4"/>
      <c r="Y983" s="4"/>
    </row>
    <row r="984">
      <c r="C984" s="6"/>
      <c r="F984" s="6"/>
      <c r="M984" s="4"/>
      <c r="S984" s="4"/>
      <c r="U984" s="6"/>
      <c r="X984" s="4"/>
      <c r="Y984" s="4"/>
    </row>
    <row r="985">
      <c r="C985" s="6"/>
      <c r="F985" s="6"/>
      <c r="M985" s="4"/>
      <c r="S985" s="4"/>
      <c r="U985" s="6"/>
      <c r="X985" s="4"/>
      <c r="Y985" s="4"/>
    </row>
    <row r="986">
      <c r="C986" s="6"/>
      <c r="F986" s="6"/>
      <c r="M986" s="4"/>
      <c r="S986" s="4"/>
      <c r="U986" s="6"/>
      <c r="X986" s="4"/>
      <c r="Y986" s="4"/>
    </row>
    <row r="987">
      <c r="C987" s="6"/>
      <c r="F987" s="6"/>
      <c r="M987" s="4"/>
      <c r="S987" s="4"/>
      <c r="U987" s="6"/>
      <c r="X987" s="4"/>
      <c r="Y987" s="4"/>
    </row>
    <row r="988">
      <c r="C988" s="6"/>
      <c r="F988" s="6"/>
      <c r="M988" s="4"/>
      <c r="S988" s="4"/>
      <c r="U988" s="6"/>
      <c r="X988" s="4"/>
      <c r="Y988" s="4"/>
    </row>
    <row r="989">
      <c r="C989" s="6"/>
      <c r="F989" s="6"/>
      <c r="M989" s="4"/>
      <c r="S989" s="4"/>
      <c r="U989" s="6"/>
      <c r="X989" s="4"/>
      <c r="Y989" s="4"/>
    </row>
    <row r="990">
      <c r="C990" s="6"/>
      <c r="F990" s="6"/>
      <c r="M990" s="4"/>
      <c r="S990" s="4"/>
      <c r="U990" s="6"/>
      <c r="X990" s="4"/>
      <c r="Y990" s="4"/>
    </row>
    <row r="991">
      <c r="C991" s="6"/>
      <c r="F991" s="6"/>
      <c r="M991" s="4"/>
      <c r="S991" s="4"/>
      <c r="U991" s="6"/>
      <c r="X991" s="4"/>
      <c r="Y991" s="4"/>
    </row>
    <row r="992">
      <c r="C992" s="6"/>
      <c r="F992" s="6"/>
      <c r="M992" s="4"/>
      <c r="S992" s="4"/>
      <c r="U992" s="6"/>
      <c r="X992" s="4"/>
      <c r="Y992" s="4"/>
    </row>
    <row r="993">
      <c r="C993" s="6"/>
      <c r="F993" s="6"/>
      <c r="M993" s="4"/>
      <c r="S993" s="4"/>
      <c r="U993" s="6"/>
      <c r="X993" s="4"/>
      <c r="Y993" s="4"/>
    </row>
    <row r="994">
      <c r="C994" s="6"/>
      <c r="F994" s="6"/>
      <c r="M994" s="4"/>
      <c r="S994" s="4"/>
      <c r="U994" s="6"/>
      <c r="X994" s="4"/>
      <c r="Y994" s="4"/>
    </row>
    <row r="995">
      <c r="C995" s="6"/>
      <c r="F995" s="6"/>
      <c r="M995" s="4"/>
      <c r="S995" s="4"/>
      <c r="U995" s="6"/>
      <c r="X995" s="4"/>
      <c r="Y995" s="4"/>
    </row>
    <row r="996">
      <c r="C996" s="6"/>
      <c r="F996" s="6"/>
      <c r="M996" s="4"/>
      <c r="S996" s="4"/>
      <c r="U996" s="6"/>
      <c r="X996" s="4"/>
      <c r="Y996" s="4"/>
    </row>
    <row r="997">
      <c r="C997" s="6"/>
      <c r="F997" s="6"/>
      <c r="M997" s="4"/>
      <c r="S997" s="4"/>
      <c r="U997" s="6"/>
      <c r="X997" s="4"/>
      <c r="Y997" s="4"/>
    </row>
    <row r="998">
      <c r="C998" s="6"/>
      <c r="F998" s="6"/>
      <c r="M998" s="4"/>
      <c r="S998" s="4"/>
      <c r="U998" s="6"/>
      <c r="X998" s="4"/>
      <c r="Y998" s="4"/>
    </row>
    <row r="999">
      <c r="C999" s="6"/>
      <c r="F999" s="6"/>
      <c r="M999" s="4"/>
      <c r="S999" s="4"/>
      <c r="U999" s="6"/>
      <c r="X999" s="4"/>
      <c r="Y999" s="4"/>
    </row>
    <row r="1000">
      <c r="C1000" s="6"/>
      <c r="F1000" s="6"/>
      <c r="M1000" s="4"/>
      <c r="S1000" s="4"/>
      <c r="U1000" s="6"/>
      <c r="X1000" s="4"/>
      <c r="Y1000" s="4"/>
    </row>
  </sheetData>
  <customSheetViews>
    <customSheetView guid="{C03EEC1D-7369-4ACC-854B-C2721EAD17DE}" filter="1" showAutoFilter="1">
      <autoFilter ref="$A$1:$AB$1000"/>
    </customSheetView>
  </customSheetViews>
  <conditionalFormatting sqref="A1:X101">
    <cfRule type="containsBlanks" dxfId="1" priority="1">
      <formula>LEN(TRIM(A1))=0</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3" max="3" width="20.75"/>
    <col customWidth="1" min="5" max="5" width="17.0"/>
    <col customWidth="1" min="6" max="6" width="22.75"/>
  </cols>
  <sheetData>
    <row r="1">
      <c r="A1" s="2" t="s">
        <v>5</v>
      </c>
      <c r="B1" s="1" t="s">
        <v>8</v>
      </c>
      <c r="C1" s="1" t="s">
        <v>4</v>
      </c>
      <c r="D1" s="1" t="s">
        <v>158</v>
      </c>
      <c r="G1" s="1" t="s">
        <v>10</v>
      </c>
    </row>
    <row r="2">
      <c r="A2" s="2">
        <v>8661.99679239238</v>
      </c>
      <c r="B2" s="1">
        <v>7.0</v>
      </c>
      <c r="C2" s="1">
        <v>802.0</v>
      </c>
      <c r="D2" s="4">
        <v>4048.86432144271</v>
      </c>
      <c r="E2" s="7" t="s">
        <v>159</v>
      </c>
      <c r="F2" s="8" t="s">
        <v>160</v>
      </c>
      <c r="G2" s="1">
        <v>4.0</v>
      </c>
    </row>
    <row r="3">
      <c r="A3" s="2">
        <v>7460.90006544584</v>
      </c>
      <c r="B3" s="1">
        <v>30.0</v>
      </c>
      <c r="C3" s="1">
        <v>736.0</v>
      </c>
      <c r="D3" s="4">
        <v>786.7067335794678</v>
      </c>
      <c r="E3" s="9">
        <f>AVERAGE(B2:B101)</f>
        <v>15.96</v>
      </c>
      <c r="F3" s="10">
        <f>SUM(A2:A101)</f>
        <v>577604.8187</v>
      </c>
      <c r="G3" s="1">
        <v>2.0</v>
      </c>
    </row>
    <row r="4">
      <c r="A4" s="2">
        <v>9577.74962586873</v>
      </c>
      <c r="B4" s="1">
        <v>10.0</v>
      </c>
      <c r="C4" s="1">
        <v>8.0</v>
      </c>
      <c r="D4" s="4">
        <v>11.3196832930905</v>
      </c>
      <c r="G4" s="1">
        <v>2.0</v>
      </c>
    </row>
    <row r="5">
      <c r="A5" s="2">
        <v>7766.83642568523</v>
      </c>
      <c r="B5" s="1">
        <v>13.0</v>
      </c>
      <c r="C5" s="1">
        <v>83.0</v>
      </c>
      <c r="D5" s="4">
        <v>1406.7568893780672</v>
      </c>
      <c r="E5" s="11" t="s">
        <v>161</v>
      </c>
      <c r="F5" s="12" t="s">
        <v>162</v>
      </c>
      <c r="G5" s="1">
        <v>6.0</v>
      </c>
    </row>
    <row r="6">
      <c r="A6" s="2">
        <v>2686.50515156744</v>
      </c>
      <c r="B6" s="1">
        <v>3.0</v>
      </c>
      <c r="C6" s="1">
        <v>871.0</v>
      </c>
      <c r="D6" s="4">
        <v>24.027480181729448</v>
      </c>
      <c r="E6" s="9">
        <f t="shared" ref="E6:F6" si="1">SUM(C2:C101)</f>
        <v>46099</v>
      </c>
      <c r="F6" s="13">
        <f t="shared" si="1"/>
        <v>243857.444</v>
      </c>
      <c r="G6" s="1">
        <v>8.0</v>
      </c>
    </row>
    <row r="7">
      <c r="A7" s="2">
        <v>2828.34874597575</v>
      </c>
      <c r="B7" s="1">
        <v>27.0</v>
      </c>
      <c r="C7" s="1">
        <v>147.0</v>
      </c>
      <c r="D7" s="4">
        <v>152.99784124793368</v>
      </c>
      <c r="G7" s="1">
        <v>3.0</v>
      </c>
    </row>
    <row r="8">
      <c r="A8" s="2">
        <v>7823.47655953173</v>
      </c>
      <c r="B8" s="1">
        <v>15.0</v>
      </c>
      <c r="C8" s="1">
        <v>65.0</v>
      </c>
      <c r="D8" s="4">
        <v>44.861661494187345</v>
      </c>
      <c r="E8" s="14" t="s">
        <v>163</v>
      </c>
      <c r="G8" s="1">
        <v>8.0</v>
      </c>
    </row>
    <row r="9">
      <c r="A9" s="2">
        <v>8496.10381308983</v>
      </c>
      <c r="B9" s="1">
        <v>17.0</v>
      </c>
      <c r="C9" s="1">
        <v>426.0</v>
      </c>
      <c r="D9" s="4">
        <v>3995.1297475687797</v>
      </c>
      <c r="E9" s="15">
        <v>5.76</v>
      </c>
      <c r="G9" s="1">
        <v>1.0</v>
      </c>
    </row>
    <row r="10">
      <c r="A10" s="2">
        <v>7517.36321063112</v>
      </c>
      <c r="B10" s="1">
        <v>10.0</v>
      </c>
      <c r="C10" s="1">
        <v>150.0</v>
      </c>
      <c r="D10" s="4">
        <v>343.5879837426365</v>
      </c>
      <c r="G10" s="1">
        <v>7.0</v>
      </c>
    </row>
    <row r="11">
      <c r="A11" s="2">
        <v>4971.14598758555</v>
      </c>
      <c r="B11" s="1">
        <v>27.0</v>
      </c>
      <c r="C11" s="1">
        <v>980.0</v>
      </c>
      <c r="D11" s="4">
        <v>896.220261177899</v>
      </c>
      <c r="G11" s="1">
        <v>1.0</v>
      </c>
    </row>
    <row r="12">
      <c r="A12" s="2">
        <v>2330.96580209194</v>
      </c>
      <c r="B12" s="1">
        <v>13.0</v>
      </c>
      <c r="C12" s="1">
        <v>996.0</v>
      </c>
      <c r="D12" s="4">
        <v>801.097579777517</v>
      </c>
      <c r="G12" s="1">
        <v>2.0</v>
      </c>
    </row>
    <row r="13">
      <c r="A13" s="2">
        <v>6099.94411558145</v>
      </c>
      <c r="B13" s="1">
        <v>23.0</v>
      </c>
      <c r="C13" s="1">
        <v>960.0</v>
      </c>
      <c r="D13" s="4">
        <v>4169.231159185275</v>
      </c>
      <c r="G13" s="1">
        <v>1.0</v>
      </c>
    </row>
    <row r="14">
      <c r="A14" s="2">
        <v>2873.74144602144</v>
      </c>
      <c r="B14" s="1">
        <v>30.0</v>
      </c>
      <c r="C14" s="1">
        <v>336.0</v>
      </c>
      <c r="D14" s="4">
        <v>7121.338907536</v>
      </c>
      <c r="G14" s="1">
        <v>4.0</v>
      </c>
    </row>
    <row r="15">
      <c r="A15" s="2">
        <v>4052.73841623786</v>
      </c>
      <c r="B15" s="1">
        <v>8.0</v>
      </c>
      <c r="C15" s="1">
        <v>249.0</v>
      </c>
      <c r="D15" s="4">
        <v>1292.831465390392</v>
      </c>
      <c r="G15" s="1">
        <v>9.0</v>
      </c>
    </row>
    <row r="16">
      <c r="A16" s="2">
        <v>8653.5709264698</v>
      </c>
      <c r="B16" s="1">
        <v>29.0</v>
      </c>
      <c r="C16" s="1">
        <v>562.0</v>
      </c>
      <c r="D16" s="4">
        <v>5355.251746485702</v>
      </c>
      <c r="G16" s="1">
        <v>5.0</v>
      </c>
    </row>
    <row r="17">
      <c r="A17" s="2">
        <v>5442.08678539767</v>
      </c>
      <c r="B17" s="1">
        <v>8.0</v>
      </c>
      <c r="C17" s="1">
        <v>469.0</v>
      </c>
      <c r="D17" s="4">
        <v>332.90320435764215</v>
      </c>
      <c r="G17" s="1">
        <v>7.0</v>
      </c>
    </row>
    <row r="18">
      <c r="A18" s="2">
        <v>6453.79796817628</v>
      </c>
      <c r="B18" s="1">
        <v>5.0</v>
      </c>
      <c r="C18" s="1">
        <v>280.0</v>
      </c>
      <c r="D18" s="4">
        <v>15.09434421958254</v>
      </c>
      <c r="G18" s="1">
        <v>1.0</v>
      </c>
    </row>
    <row r="19">
      <c r="A19" s="2">
        <v>2629.39643484526</v>
      </c>
      <c r="B19" s="1">
        <v>17.0</v>
      </c>
      <c r="C19" s="1">
        <v>126.0</v>
      </c>
      <c r="D19" s="4">
        <v>3665.814046615665</v>
      </c>
      <c r="G19" s="1">
        <v>9.0</v>
      </c>
    </row>
    <row r="20">
      <c r="A20" s="2">
        <v>9364.67350507617</v>
      </c>
      <c r="B20" s="1">
        <v>10.0</v>
      </c>
      <c r="C20" s="1">
        <v>620.0</v>
      </c>
      <c r="D20" s="4">
        <v>364.436277704609</v>
      </c>
      <c r="G20" s="1">
        <v>8.0</v>
      </c>
    </row>
    <row r="21">
      <c r="A21" s="2">
        <v>2553.49558499121</v>
      </c>
      <c r="B21" s="1">
        <v>11.0</v>
      </c>
      <c r="C21" s="1">
        <v>187.0</v>
      </c>
      <c r="D21" s="4">
        <v>2453.9457642223056</v>
      </c>
      <c r="G21" s="1">
        <v>3.0</v>
      </c>
    </row>
    <row r="22">
      <c r="A22" s="2">
        <v>8128.02769685119</v>
      </c>
      <c r="B22" s="1">
        <v>12.0</v>
      </c>
      <c r="C22" s="1">
        <v>320.0</v>
      </c>
      <c r="D22" s="4">
        <v>2601.208955879009</v>
      </c>
      <c r="G22" s="1">
        <v>6.0</v>
      </c>
    </row>
    <row r="23">
      <c r="A23" s="2">
        <v>7087.05269635743</v>
      </c>
      <c r="B23" s="1">
        <v>25.0</v>
      </c>
      <c r="C23" s="1">
        <v>601.0</v>
      </c>
      <c r="D23" s="4">
        <v>5857.6769599616055</v>
      </c>
      <c r="G23" s="1">
        <v>6.0</v>
      </c>
    </row>
    <row r="24">
      <c r="A24" s="2">
        <v>2390.80786655617</v>
      </c>
      <c r="B24" s="1">
        <v>1.0</v>
      </c>
      <c r="C24" s="1">
        <v>884.0</v>
      </c>
      <c r="D24" s="4">
        <v>1965.2644429416348</v>
      </c>
      <c r="G24" s="1">
        <v>10.0</v>
      </c>
    </row>
    <row r="25">
      <c r="A25" s="2">
        <v>8858.36757101148</v>
      </c>
      <c r="B25" s="1">
        <v>5.0</v>
      </c>
      <c r="C25" s="1">
        <v>391.0</v>
      </c>
      <c r="D25" s="4">
        <v>363.24465961258943</v>
      </c>
      <c r="G25" s="1">
        <v>7.0</v>
      </c>
    </row>
    <row r="26">
      <c r="A26" s="2">
        <v>9049.07786093989</v>
      </c>
      <c r="B26" s="1">
        <v>26.0</v>
      </c>
      <c r="C26" s="1">
        <v>209.0</v>
      </c>
      <c r="D26" s="4">
        <v>16.6252334372444</v>
      </c>
      <c r="G26" s="1">
        <v>8.0</v>
      </c>
    </row>
    <row r="27">
      <c r="A27" s="2">
        <v>2174.77705435065</v>
      </c>
      <c r="B27" s="1">
        <v>11.0</v>
      </c>
      <c r="C27" s="1">
        <v>142.0</v>
      </c>
      <c r="D27" s="4">
        <v>3249.6062067775933</v>
      </c>
      <c r="G27" s="1">
        <v>3.0</v>
      </c>
    </row>
    <row r="28">
      <c r="A28" s="2">
        <v>3716.49332589403</v>
      </c>
      <c r="B28" s="1">
        <v>16.0</v>
      </c>
      <c r="C28" s="1">
        <v>353.0</v>
      </c>
      <c r="D28" s="4">
        <v>5749.369850455676</v>
      </c>
      <c r="G28" s="1">
        <v>4.0</v>
      </c>
    </row>
    <row r="29">
      <c r="A29" s="2">
        <v>2686.45722357598</v>
      </c>
      <c r="B29" s="1">
        <v>9.0</v>
      </c>
      <c r="C29" s="1">
        <v>352.0</v>
      </c>
      <c r="D29" s="4">
        <v>4350.195958182894</v>
      </c>
      <c r="G29" s="1">
        <v>8.0</v>
      </c>
    </row>
    <row r="30">
      <c r="A30" s="2">
        <v>6117.32461508399</v>
      </c>
      <c r="B30" s="1">
        <v>15.0</v>
      </c>
      <c r="C30" s="1">
        <v>394.0</v>
      </c>
      <c r="D30" s="4">
        <v>115.06918586866273</v>
      </c>
      <c r="G30" s="1">
        <v>4.0</v>
      </c>
    </row>
    <row r="31">
      <c r="A31" s="2">
        <v>8318.90319461717</v>
      </c>
      <c r="B31" s="1">
        <v>5.0</v>
      </c>
      <c r="C31" s="1">
        <v>253.0</v>
      </c>
      <c r="D31" s="4">
        <v>2855.1401633343285</v>
      </c>
      <c r="G31" s="1">
        <v>7.0</v>
      </c>
    </row>
    <row r="32">
      <c r="A32" s="2">
        <v>2766.34236686608</v>
      </c>
      <c r="B32" s="1">
        <v>26.0</v>
      </c>
      <c r="C32" s="1">
        <v>327.0</v>
      </c>
      <c r="D32" s="4">
        <v>481.37155263158337</v>
      </c>
      <c r="G32" s="1">
        <v>7.0</v>
      </c>
    </row>
    <row r="33">
      <c r="A33" s="2">
        <v>9655.13510271939</v>
      </c>
      <c r="B33" s="1">
        <v>17.0</v>
      </c>
      <c r="C33" s="1">
        <v>168.0</v>
      </c>
      <c r="D33" s="4">
        <v>305.08435831031215</v>
      </c>
      <c r="G33" s="1">
        <v>4.0</v>
      </c>
    </row>
    <row r="34">
      <c r="A34" s="2">
        <v>9571.55048732781</v>
      </c>
      <c r="B34" s="1">
        <v>13.0</v>
      </c>
      <c r="C34" s="1">
        <v>781.0</v>
      </c>
      <c r="D34" s="4">
        <v>7049.684305393446</v>
      </c>
      <c r="G34" s="1">
        <v>4.0</v>
      </c>
    </row>
    <row r="35">
      <c r="A35" s="2">
        <v>5149.99835040803</v>
      </c>
      <c r="B35" s="1">
        <v>17.0</v>
      </c>
      <c r="C35" s="1">
        <v>616.0</v>
      </c>
      <c r="D35" s="4">
        <v>259.1817400006224</v>
      </c>
      <c r="G35" s="1">
        <v>9.0</v>
      </c>
    </row>
    <row r="36">
      <c r="A36" s="2">
        <v>9061.71089550772</v>
      </c>
      <c r="B36" s="1">
        <v>26.0</v>
      </c>
      <c r="C36" s="1">
        <v>602.0</v>
      </c>
      <c r="D36" s="4">
        <v>37.4675923298424</v>
      </c>
      <c r="G36" s="1">
        <v>7.0</v>
      </c>
    </row>
    <row r="37">
      <c r="A37" s="2">
        <v>6541.32934480246</v>
      </c>
      <c r="B37" s="1">
        <v>27.0</v>
      </c>
      <c r="C37" s="1">
        <v>449.0</v>
      </c>
      <c r="D37" s="4">
        <v>3568.2270462867173</v>
      </c>
      <c r="G37" s="1">
        <v>8.0</v>
      </c>
    </row>
    <row r="38">
      <c r="A38" s="2">
        <v>7573.40245784873</v>
      </c>
      <c r="B38" s="1">
        <v>23.0</v>
      </c>
      <c r="C38" s="1">
        <v>963.0</v>
      </c>
      <c r="D38" s="4">
        <v>176.6340464175729</v>
      </c>
      <c r="G38" s="1">
        <v>3.0</v>
      </c>
    </row>
    <row r="39">
      <c r="A39" s="2">
        <v>2438.33993047002</v>
      </c>
      <c r="B39" s="1">
        <v>8.0</v>
      </c>
      <c r="C39" s="1">
        <v>963.0</v>
      </c>
      <c r="D39" s="4">
        <v>584.9961188153575</v>
      </c>
      <c r="G39" s="1">
        <v>9.0</v>
      </c>
    </row>
    <row r="40">
      <c r="A40" s="2">
        <v>9692.31804021843</v>
      </c>
      <c r="B40" s="1">
        <v>1.0</v>
      </c>
      <c r="C40" s="1">
        <v>705.0</v>
      </c>
      <c r="D40" s="4">
        <v>3593.239217106838</v>
      </c>
      <c r="G40" s="1">
        <v>5.0</v>
      </c>
    </row>
    <row r="41">
      <c r="A41" s="2">
        <v>1912.46566310076</v>
      </c>
      <c r="B41" s="1">
        <v>29.0</v>
      </c>
      <c r="C41" s="1">
        <v>176.0</v>
      </c>
      <c r="D41" s="4">
        <v>1491.9432267342095</v>
      </c>
      <c r="G41" s="1">
        <v>3.0</v>
      </c>
    </row>
    <row r="42">
      <c r="A42" s="2">
        <v>5724.95935045626</v>
      </c>
      <c r="B42" s="1">
        <v>20.0</v>
      </c>
      <c r="C42" s="1">
        <v>933.0</v>
      </c>
      <c r="D42" s="4">
        <v>7248.728175384627</v>
      </c>
      <c r="G42" s="1">
        <v>8.0</v>
      </c>
    </row>
    <row r="43">
      <c r="A43" s="2">
        <v>5521.20525901097</v>
      </c>
      <c r="B43" s="1">
        <v>19.0</v>
      </c>
      <c r="C43" s="1">
        <v>556.0</v>
      </c>
      <c r="D43" s="4">
        <v>6343.250663380294</v>
      </c>
      <c r="G43" s="1">
        <v>8.0</v>
      </c>
    </row>
    <row r="44">
      <c r="A44" s="2">
        <v>1839.60942585676</v>
      </c>
      <c r="B44" s="1">
        <v>27.0</v>
      </c>
      <c r="C44" s="1">
        <v>155.0</v>
      </c>
      <c r="D44" s="4">
        <v>1023.6416875193675</v>
      </c>
      <c r="G44" s="1">
        <v>4.0</v>
      </c>
    </row>
    <row r="45">
      <c r="A45" s="2">
        <v>5737.42559911902</v>
      </c>
      <c r="B45" s="1">
        <v>29.0</v>
      </c>
      <c r="C45" s="1">
        <v>598.0</v>
      </c>
      <c r="D45" s="4">
        <v>422.7577839471312</v>
      </c>
      <c r="G45" s="1">
        <v>9.0</v>
      </c>
    </row>
    <row r="46">
      <c r="A46" s="2">
        <v>7152.28604943551</v>
      </c>
      <c r="B46" s="1">
        <v>19.0</v>
      </c>
      <c r="C46" s="1">
        <v>919.0</v>
      </c>
      <c r="D46" s="4">
        <v>667.6252818704338</v>
      </c>
      <c r="G46" s="1">
        <v>6.0</v>
      </c>
    </row>
    <row r="47">
      <c r="A47" s="2">
        <v>5267.95680751052</v>
      </c>
      <c r="B47" s="1">
        <v>7.0</v>
      </c>
      <c r="C47" s="1">
        <v>24.0</v>
      </c>
      <c r="D47" s="4">
        <v>3141.9248370750915</v>
      </c>
      <c r="G47" s="1">
        <v>6.0</v>
      </c>
    </row>
    <row r="48">
      <c r="A48" s="2">
        <v>2556.76736063359</v>
      </c>
      <c r="B48" s="1">
        <v>29.0</v>
      </c>
      <c r="C48" s="1">
        <v>859.0</v>
      </c>
      <c r="D48" s="4">
        <v>2491.5630623897787</v>
      </c>
      <c r="G48" s="1">
        <v>8.0</v>
      </c>
    </row>
    <row r="49">
      <c r="A49" s="2">
        <v>7089.47424993418</v>
      </c>
      <c r="B49" s="1">
        <v>15.0</v>
      </c>
      <c r="C49" s="1">
        <v>910.0</v>
      </c>
      <c r="D49" s="4">
        <v>382.848543523744</v>
      </c>
      <c r="G49" s="1">
        <v>9.0</v>
      </c>
    </row>
    <row r="50">
      <c r="A50" s="2">
        <v>7397.07100458718</v>
      </c>
      <c r="B50" s="1">
        <v>16.0</v>
      </c>
      <c r="C50" s="1">
        <v>29.0</v>
      </c>
      <c r="D50" s="4">
        <v>2281.0663328067512</v>
      </c>
      <c r="G50" s="1">
        <v>3.0</v>
      </c>
    </row>
    <row r="51">
      <c r="A51" s="2">
        <v>8001.613206519</v>
      </c>
      <c r="B51" s="1">
        <v>24.0</v>
      </c>
      <c r="C51" s="1">
        <v>99.0</v>
      </c>
      <c r="D51" s="4">
        <v>7653.097580947079</v>
      </c>
      <c r="G51" s="1">
        <v>6.0</v>
      </c>
    </row>
    <row r="52">
      <c r="A52" s="2">
        <v>5910.88538966889</v>
      </c>
      <c r="B52" s="1">
        <v>23.0</v>
      </c>
      <c r="C52" s="1">
        <v>633.0</v>
      </c>
      <c r="D52" s="4">
        <v>440.308012208893</v>
      </c>
      <c r="G52" s="1">
        <v>10.0</v>
      </c>
    </row>
    <row r="53">
      <c r="A53" s="2">
        <v>9866.46545797969</v>
      </c>
      <c r="B53" s="1">
        <v>4.0</v>
      </c>
      <c r="C53" s="1">
        <v>154.0</v>
      </c>
      <c r="D53" s="4">
        <v>2670.0760972461703</v>
      </c>
      <c r="G53" s="1">
        <v>1.0</v>
      </c>
    </row>
    <row r="54">
      <c r="A54" s="2">
        <v>9435.76260891213</v>
      </c>
      <c r="B54" s="1">
        <v>11.0</v>
      </c>
      <c r="C54" s="1">
        <v>820.0</v>
      </c>
      <c r="D54" s="4">
        <v>6274.03709801376</v>
      </c>
      <c r="G54" s="1">
        <v>1.0</v>
      </c>
    </row>
    <row r="55">
      <c r="A55" s="2">
        <v>8232.33482942582</v>
      </c>
      <c r="B55" s="1">
        <v>25.0</v>
      </c>
      <c r="C55" s="1">
        <v>242.0</v>
      </c>
      <c r="D55" s="4">
        <v>2912.781188276563</v>
      </c>
      <c r="G55" s="1">
        <v>3.0</v>
      </c>
    </row>
    <row r="56">
      <c r="A56" s="2">
        <v>6088.02147994085</v>
      </c>
      <c r="B56" s="1">
        <v>22.0</v>
      </c>
      <c r="C56" s="1">
        <v>622.0</v>
      </c>
      <c r="D56" s="4">
        <v>1027.8260242879464</v>
      </c>
      <c r="G56" s="1">
        <v>3.0</v>
      </c>
    </row>
    <row r="57">
      <c r="A57" s="2">
        <v>2925.67517030381</v>
      </c>
      <c r="B57" s="1">
        <v>11.0</v>
      </c>
      <c r="C57" s="1">
        <v>701.0</v>
      </c>
      <c r="D57" s="4">
        <v>7745.940659056571</v>
      </c>
      <c r="G57" s="1">
        <v>5.0</v>
      </c>
    </row>
    <row r="58">
      <c r="A58" s="2">
        <v>4767.02048434413</v>
      </c>
      <c r="B58" s="1">
        <v>23.0</v>
      </c>
      <c r="C58" s="1">
        <v>93.0</v>
      </c>
      <c r="D58" s="4">
        <v>524.6596509260825</v>
      </c>
      <c r="G58" s="1">
        <v>5.0</v>
      </c>
    </row>
    <row r="59">
      <c r="A59" s="2">
        <v>1605.8669003924</v>
      </c>
      <c r="B59" s="1">
        <v>18.0</v>
      </c>
      <c r="C59" s="1">
        <v>227.0</v>
      </c>
      <c r="D59" s="4">
        <v>246.31602675367049</v>
      </c>
      <c r="G59" s="1">
        <v>1.0</v>
      </c>
    </row>
    <row r="60">
      <c r="A60" s="2">
        <v>2021.1498103371</v>
      </c>
      <c r="B60" s="1">
        <v>5.0</v>
      </c>
      <c r="C60" s="1">
        <v>896.0</v>
      </c>
      <c r="D60" s="4">
        <v>598.415613772893</v>
      </c>
      <c r="G60" s="1">
        <v>7.0</v>
      </c>
    </row>
    <row r="61">
      <c r="A61" s="2">
        <v>1061.61852301328</v>
      </c>
      <c r="B61" s="1">
        <v>16.0</v>
      </c>
      <c r="C61" s="1">
        <v>484.0</v>
      </c>
      <c r="D61" s="4">
        <v>6382.83983477109</v>
      </c>
      <c r="G61" s="1">
        <v>7.0</v>
      </c>
    </row>
    <row r="62">
      <c r="A62" s="2">
        <v>8864.08434958643</v>
      </c>
      <c r="B62" s="1">
        <v>27.0</v>
      </c>
      <c r="C62" s="1">
        <v>380.0</v>
      </c>
      <c r="D62" s="4">
        <v>698.1491447277366</v>
      </c>
      <c r="G62" s="1">
        <v>8.0</v>
      </c>
    </row>
    <row r="63">
      <c r="A63" s="2">
        <v>6885.58935089625</v>
      </c>
      <c r="B63" s="1">
        <v>23.0</v>
      </c>
      <c r="C63" s="1">
        <v>117.0</v>
      </c>
      <c r="D63" s="4">
        <v>1664.9199969054368</v>
      </c>
      <c r="G63" s="1">
        <v>7.0</v>
      </c>
    </row>
    <row r="64">
      <c r="A64" s="2">
        <v>3899.74683372922</v>
      </c>
      <c r="B64" s="1">
        <v>2.0</v>
      </c>
      <c r="C64" s="1">
        <v>270.0</v>
      </c>
      <c r="D64" s="4">
        <v>6260.486440180508</v>
      </c>
      <c r="G64" s="1">
        <v>7.0</v>
      </c>
    </row>
    <row r="65">
      <c r="A65" s="2">
        <v>4256.94914085022</v>
      </c>
      <c r="B65" s="1">
        <v>19.0</v>
      </c>
      <c r="C65" s="1">
        <v>246.0</v>
      </c>
      <c r="D65" s="4">
        <v>702.9383464055412</v>
      </c>
      <c r="G65" s="1">
        <v>4.0</v>
      </c>
    </row>
    <row r="66">
      <c r="A66" s="2">
        <v>8458.73087836717</v>
      </c>
      <c r="B66" s="1">
        <v>27.0</v>
      </c>
      <c r="C66" s="1">
        <v>134.0</v>
      </c>
      <c r="D66" s="4">
        <v>6543.288979393877</v>
      </c>
      <c r="G66" s="1">
        <v>6.0</v>
      </c>
    </row>
    <row r="67">
      <c r="A67" s="2">
        <v>8354.57968648199</v>
      </c>
      <c r="B67" s="1">
        <v>24.0</v>
      </c>
      <c r="C67" s="1">
        <v>457.0</v>
      </c>
      <c r="D67" s="4">
        <v>1920.7698807786567</v>
      </c>
      <c r="G67" s="1">
        <v>8.0</v>
      </c>
    </row>
    <row r="68">
      <c r="A68" s="2">
        <v>8367.72161802015</v>
      </c>
      <c r="B68" s="1">
        <v>17.0</v>
      </c>
      <c r="C68" s="1">
        <v>704.0</v>
      </c>
      <c r="D68" s="4">
        <v>338.453307061506</v>
      </c>
      <c r="G68" s="1">
        <v>8.0</v>
      </c>
    </row>
    <row r="69">
      <c r="A69" s="2">
        <v>9473.79803250833</v>
      </c>
      <c r="B69" s="1">
        <v>9.0</v>
      </c>
      <c r="C69" s="1">
        <v>513.0</v>
      </c>
      <c r="D69" s="4">
        <v>1053.065188248012</v>
      </c>
      <c r="G69" s="1">
        <v>9.0</v>
      </c>
    </row>
    <row r="70">
      <c r="A70" s="2">
        <v>3550.21843278099</v>
      </c>
      <c r="B70" s="1">
        <v>8.0</v>
      </c>
      <c r="C70" s="1">
        <v>163.0</v>
      </c>
      <c r="D70" s="4">
        <v>0.0</v>
      </c>
      <c r="G70" s="1">
        <v>8.0</v>
      </c>
    </row>
    <row r="71">
      <c r="A71" s="2">
        <v>1752.38108748412</v>
      </c>
      <c r="B71" s="1">
        <v>1.0</v>
      </c>
      <c r="C71" s="1">
        <v>511.0</v>
      </c>
      <c r="D71" s="4">
        <v>5212.225209121621</v>
      </c>
      <c r="G71" s="1">
        <v>3.0</v>
      </c>
    </row>
    <row r="72">
      <c r="A72" s="2">
        <v>7014.88798720338</v>
      </c>
      <c r="B72" s="1">
        <v>12.0</v>
      </c>
      <c r="C72" s="1">
        <v>32.0</v>
      </c>
      <c r="D72" s="4">
        <v>479.145418240587</v>
      </c>
      <c r="G72" s="1">
        <v>4.0</v>
      </c>
    </row>
    <row r="73">
      <c r="A73" s="2">
        <v>8180.33708542544</v>
      </c>
      <c r="B73" s="1">
        <v>2.0</v>
      </c>
      <c r="C73" s="1">
        <v>637.0</v>
      </c>
      <c r="D73" s="4">
        <v>484.996520368845</v>
      </c>
      <c r="G73" s="1">
        <v>6.0</v>
      </c>
    </row>
    <row r="74">
      <c r="A74" s="2">
        <v>2633.12198131225</v>
      </c>
      <c r="B74" s="1">
        <v>29.0</v>
      </c>
      <c r="C74" s="1">
        <v>478.0</v>
      </c>
      <c r="D74" s="4">
        <v>5141.652368670096</v>
      </c>
      <c r="G74" s="1">
        <v>9.0</v>
      </c>
    </row>
    <row r="75">
      <c r="A75" s="2">
        <v>7910.88691614068</v>
      </c>
      <c r="B75" s="1">
        <v>25.0</v>
      </c>
      <c r="C75" s="1">
        <v>375.0</v>
      </c>
      <c r="D75" s="4">
        <v>1425.4673005821783</v>
      </c>
      <c r="G75" s="1">
        <v>5.0</v>
      </c>
    </row>
    <row r="76">
      <c r="A76" s="2">
        <v>5709.94529596928</v>
      </c>
      <c r="B76" s="1">
        <v>6.0</v>
      </c>
      <c r="C76" s="1">
        <v>904.0</v>
      </c>
      <c r="D76" s="4">
        <v>129.97046795621213</v>
      </c>
      <c r="G76" s="1">
        <v>5.0</v>
      </c>
    </row>
    <row r="77">
      <c r="A77" s="2">
        <v>1889.07358977933</v>
      </c>
      <c r="B77" s="1">
        <v>20.0</v>
      </c>
      <c r="C77" s="1">
        <v>106.0</v>
      </c>
      <c r="D77" s="4">
        <v>1487.9501477435297</v>
      </c>
      <c r="G77" s="1">
        <v>10.0</v>
      </c>
    </row>
    <row r="78">
      <c r="A78" s="2">
        <v>5328.37598429775</v>
      </c>
      <c r="B78" s="1">
        <v>1.0</v>
      </c>
      <c r="C78" s="1">
        <v>241.0</v>
      </c>
      <c r="D78" s="4">
        <v>2626.134382802351</v>
      </c>
      <c r="G78" s="1">
        <v>10.0</v>
      </c>
    </row>
    <row r="79">
      <c r="A79" s="2">
        <v>2483.76017754279</v>
      </c>
      <c r="B79" s="1">
        <v>28.0</v>
      </c>
      <c r="C79" s="1">
        <v>359.0</v>
      </c>
      <c r="D79" s="4">
        <v>5515.175324061254</v>
      </c>
      <c r="G79" s="1">
        <v>4.0</v>
      </c>
    </row>
    <row r="80">
      <c r="A80" s="2">
        <v>1292.45841793775</v>
      </c>
      <c r="B80" s="1">
        <v>4.0</v>
      </c>
      <c r="C80" s="1">
        <v>946.0</v>
      </c>
      <c r="D80" s="4">
        <v>31.53441588055955</v>
      </c>
      <c r="G80" s="1">
        <v>5.0</v>
      </c>
    </row>
    <row r="81">
      <c r="A81" s="2">
        <v>7888.72326842708</v>
      </c>
      <c r="B81" s="1">
        <v>25.0</v>
      </c>
      <c r="C81" s="1">
        <v>198.0</v>
      </c>
      <c r="D81" s="4">
        <v>1768.7679678541992</v>
      </c>
      <c r="G81" s="1">
        <v>1.0</v>
      </c>
    </row>
    <row r="82">
      <c r="A82" s="2">
        <v>8651.67268298206</v>
      </c>
      <c r="B82" s="1">
        <v>14.0</v>
      </c>
      <c r="C82" s="1">
        <v>872.0</v>
      </c>
      <c r="D82" s="4">
        <v>3554.004415667328</v>
      </c>
      <c r="G82" s="1">
        <v>2.0</v>
      </c>
    </row>
    <row r="83">
      <c r="A83" s="2">
        <v>4384.41340004586</v>
      </c>
      <c r="B83" s="1">
        <v>6.0</v>
      </c>
      <c r="C83" s="1">
        <v>774.0</v>
      </c>
      <c r="D83" s="4">
        <v>3495.3219326552735</v>
      </c>
      <c r="G83" s="1">
        <v>5.0</v>
      </c>
    </row>
    <row r="84">
      <c r="A84" s="2">
        <v>2943.38186760945</v>
      </c>
      <c r="B84" s="1">
        <v>19.0</v>
      </c>
      <c r="C84" s="1">
        <v>336.0</v>
      </c>
      <c r="D84" s="4">
        <v>715.4670910576518</v>
      </c>
      <c r="G84" s="1">
        <v>1.0</v>
      </c>
    </row>
    <row r="85">
      <c r="A85" s="2">
        <v>2411.75463211049</v>
      </c>
      <c r="B85" s="1">
        <v>24.0</v>
      </c>
      <c r="C85" s="1">
        <v>663.0</v>
      </c>
      <c r="D85" s="4">
        <v>4479.231003754409</v>
      </c>
      <c r="G85" s="1">
        <v>8.0</v>
      </c>
    </row>
    <row r="86">
      <c r="A86" s="2">
        <v>2048.29009984871</v>
      </c>
      <c r="B86" s="1">
        <v>26.0</v>
      </c>
      <c r="C86" s="1">
        <v>618.0</v>
      </c>
      <c r="D86" s="4">
        <v>6504.618812323461</v>
      </c>
      <c r="G86" s="1">
        <v>10.0</v>
      </c>
    </row>
    <row r="87">
      <c r="A87" s="2">
        <v>8684.61305925385</v>
      </c>
      <c r="B87" s="1">
        <v>18.0</v>
      </c>
      <c r="C87" s="1">
        <v>25.0</v>
      </c>
      <c r="D87" s="4">
        <v>1154.444916227907</v>
      </c>
      <c r="G87" s="1">
        <v>2.0</v>
      </c>
    </row>
    <row r="88">
      <c r="A88" s="2">
        <v>1229.59102856498</v>
      </c>
      <c r="B88" s="1">
        <v>14.0</v>
      </c>
      <c r="C88" s="1">
        <v>223.0</v>
      </c>
      <c r="D88" s="4">
        <v>639.9416620929344</v>
      </c>
      <c r="G88" s="1">
        <v>6.0</v>
      </c>
    </row>
    <row r="89">
      <c r="A89" s="2">
        <v>5133.84670108669</v>
      </c>
      <c r="B89" s="1">
        <v>7.0</v>
      </c>
      <c r="C89" s="1">
        <v>79.0</v>
      </c>
      <c r="D89" s="4">
        <v>402.0701832517785</v>
      </c>
      <c r="G89" s="1">
        <v>10.0</v>
      </c>
    </row>
    <row r="90">
      <c r="A90" s="2">
        <v>9444.74203306298</v>
      </c>
      <c r="B90" s="1">
        <v>18.0</v>
      </c>
      <c r="C90" s="1">
        <v>737.0</v>
      </c>
      <c r="D90" s="4">
        <v>4516.224418543499</v>
      </c>
      <c r="G90" s="1">
        <v>7.0</v>
      </c>
    </row>
    <row r="91">
      <c r="A91" s="2">
        <v>5924.68256685323</v>
      </c>
      <c r="B91" s="1">
        <v>1.0</v>
      </c>
      <c r="C91" s="1">
        <v>134.0</v>
      </c>
      <c r="D91" s="4">
        <v>8798.407702374474</v>
      </c>
      <c r="G91" s="1">
        <v>8.0</v>
      </c>
    </row>
    <row r="92">
      <c r="A92" s="2">
        <v>9592.63357028031</v>
      </c>
      <c r="B92" s="1">
        <v>18.0</v>
      </c>
      <c r="C92" s="1">
        <v>320.0</v>
      </c>
      <c r="D92" s="4">
        <v>916.2062910897007</v>
      </c>
      <c r="G92" s="1">
        <v>7.0</v>
      </c>
    </row>
    <row r="93">
      <c r="A93" s="2">
        <v>1935.20679350759</v>
      </c>
      <c r="B93" s="1">
        <v>22.0</v>
      </c>
      <c r="C93" s="1">
        <v>916.0</v>
      </c>
      <c r="D93" s="4">
        <v>6086.972615468247</v>
      </c>
      <c r="G93" s="1">
        <v>7.0</v>
      </c>
    </row>
    <row r="94">
      <c r="A94" s="2">
        <v>2100.12975462593</v>
      </c>
      <c r="B94" s="1">
        <v>25.0</v>
      </c>
      <c r="C94" s="1">
        <v>276.0</v>
      </c>
      <c r="D94" s="4">
        <v>4294.280976823818</v>
      </c>
      <c r="G94" s="1">
        <v>8.0</v>
      </c>
    </row>
    <row r="95">
      <c r="A95" s="2">
        <v>4531.4021336919</v>
      </c>
      <c r="B95" s="1">
        <v>17.0</v>
      </c>
      <c r="C95" s="1">
        <v>114.0</v>
      </c>
      <c r="D95" s="4">
        <v>4365.322353183041</v>
      </c>
      <c r="G95" s="1">
        <v>1.0</v>
      </c>
    </row>
    <row r="96">
      <c r="A96" s="2">
        <v>7888.35654666187</v>
      </c>
      <c r="B96" s="1">
        <v>26.0</v>
      </c>
      <c r="C96" s="1">
        <v>987.0</v>
      </c>
      <c r="D96" s="4">
        <v>233.9020317966186</v>
      </c>
      <c r="G96" s="1">
        <v>9.0</v>
      </c>
    </row>
    <row r="97">
      <c r="A97" s="2">
        <v>7386.36394404866</v>
      </c>
      <c r="B97" s="1">
        <v>14.0</v>
      </c>
      <c r="C97" s="1">
        <v>672.0</v>
      </c>
      <c r="D97" s="4">
        <v>1168.5589082917154</v>
      </c>
      <c r="G97" s="1">
        <v>9.0</v>
      </c>
    </row>
    <row r="98">
      <c r="A98" s="2">
        <v>7698.42476563211</v>
      </c>
      <c r="B98" s="1">
        <v>2.0</v>
      </c>
      <c r="C98" s="1">
        <v>324.0</v>
      </c>
      <c r="D98" s="4">
        <v>1636.349805165011</v>
      </c>
      <c r="G98" s="1">
        <v>3.0</v>
      </c>
    </row>
    <row r="99">
      <c r="A99" s="2">
        <v>4370.91657998453</v>
      </c>
      <c r="B99" s="1">
        <v>19.0</v>
      </c>
      <c r="C99" s="1">
        <v>62.0</v>
      </c>
      <c r="D99" s="4">
        <v>162.20111792059686</v>
      </c>
      <c r="G99" s="1">
        <v>9.0</v>
      </c>
    </row>
    <row r="100">
      <c r="A100" s="2">
        <v>8525.95255968352</v>
      </c>
      <c r="B100" s="1">
        <v>1.0</v>
      </c>
      <c r="C100" s="1">
        <v>913.0</v>
      </c>
      <c r="D100" s="4">
        <v>1046.9940579445658</v>
      </c>
      <c r="G100" s="1">
        <v>7.0</v>
      </c>
    </row>
    <row r="101">
      <c r="A101" s="2">
        <v>9185.1858291817</v>
      </c>
      <c r="B101" s="1">
        <v>8.0</v>
      </c>
      <c r="C101" s="1">
        <v>627.0</v>
      </c>
      <c r="D101" s="4">
        <v>3768.480798460213</v>
      </c>
      <c r="G101" s="1">
        <v>6.0</v>
      </c>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conditionalFormatting sqref="A1:C101 G1:G101">
    <cfRule type="containsBlanks" dxfId="1" priority="1">
      <formula>LEN(TRIM(A1))=0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D2" s="1" t="s">
        <v>164</v>
      </c>
    </row>
    <row r="19">
      <c r="J19" s="16"/>
    </row>
  </sheetData>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4" max="4" width="23.63"/>
    <col customWidth="1" min="5" max="5" width="17.88"/>
    <col customWidth="1" min="6" max="6" width="17.0"/>
    <col customWidth="1" min="7" max="7" width="19.63"/>
    <col customWidth="1" min="8" max="8" width="18.63"/>
  </cols>
  <sheetData>
    <row r="1"/>
    <row r="2"/>
    <row r="3"/>
    <row r="4"/>
    <row r="5"/>
    <row r="6"/>
    <row r="7"/>
    <row r="8">
      <c r="A8" s="5"/>
      <c r="B8" s="5"/>
      <c r="H8" s="4"/>
    </row>
    <row r="9">
      <c r="A9" s="5"/>
      <c r="B9" s="5"/>
      <c r="H9" s="4"/>
    </row>
    <row r="10">
      <c r="A10" s="5"/>
      <c r="B10" s="5"/>
      <c r="H10" s="4"/>
    </row>
    <row r="11">
      <c r="A11" s="5"/>
      <c r="B11" s="5"/>
      <c r="H11" s="4"/>
    </row>
    <row r="12">
      <c r="H12" s="4"/>
    </row>
    <row r="13">
      <c r="H13" s="4"/>
    </row>
    <row r="14">
      <c r="H14" s="4"/>
    </row>
    <row r="15">
      <c r="H15" s="4"/>
    </row>
    <row r="16">
      <c r="H16" s="4"/>
    </row>
    <row r="17">
      <c r="H17" s="4"/>
    </row>
    <row r="18">
      <c r="H18" s="4"/>
    </row>
    <row r="19">
      <c r="H19" s="4"/>
    </row>
    <row r="20">
      <c r="H20" s="4"/>
    </row>
    <row r="21">
      <c r="H21" s="4"/>
    </row>
    <row r="22">
      <c r="H22" s="4"/>
    </row>
    <row r="23">
      <c r="H23" s="4"/>
    </row>
    <row r="24">
      <c r="H24" s="4"/>
    </row>
    <row r="25">
      <c r="H25" s="4"/>
    </row>
    <row r="26">
      <c r="F26" s="11" t="s">
        <v>172</v>
      </c>
      <c r="H26" s="4"/>
    </row>
    <row r="27">
      <c r="F27" s="8" t="s">
        <v>173</v>
      </c>
      <c r="H27" s="4"/>
    </row>
    <row r="28">
      <c r="F28" s="24" t="s">
        <v>174</v>
      </c>
      <c r="H28" s="4"/>
    </row>
    <row r="29">
      <c r="H29" s="4"/>
    </row>
    <row r="30">
      <c r="H30" s="4"/>
    </row>
    <row r="31">
      <c r="H31" s="4"/>
    </row>
    <row r="32">
      <c r="H32" s="4"/>
    </row>
    <row r="33">
      <c r="H33" s="4"/>
    </row>
    <row r="34">
      <c r="H34" s="4"/>
    </row>
    <row r="35">
      <c r="H35" s="4"/>
    </row>
    <row r="36">
      <c r="H36" s="4"/>
    </row>
    <row r="37">
      <c r="H37" s="4"/>
    </row>
    <row r="38">
      <c r="H38" s="4"/>
    </row>
    <row r="39">
      <c r="H39" s="4"/>
    </row>
    <row r="40">
      <c r="H40" s="4"/>
    </row>
    <row r="41">
      <c r="H41" s="4"/>
    </row>
    <row r="42">
      <c r="H42" s="4"/>
    </row>
    <row r="43">
      <c r="H43" s="4"/>
    </row>
    <row r="44">
      <c r="H44" s="4"/>
    </row>
    <row r="45">
      <c r="H45" s="4"/>
    </row>
    <row r="46">
      <c r="H46" s="4"/>
    </row>
    <row r="47">
      <c r="H47" s="4"/>
    </row>
    <row r="48">
      <c r="H48" s="4"/>
    </row>
    <row r="49">
      <c r="H49" s="4"/>
    </row>
    <row r="50">
      <c r="H50" s="4"/>
    </row>
    <row r="51">
      <c r="H51" s="4"/>
    </row>
    <row r="52">
      <c r="H52" s="4"/>
    </row>
    <row r="53">
      <c r="H53" s="4"/>
    </row>
    <row r="54">
      <c r="H54" s="4"/>
    </row>
    <row r="55">
      <c r="H55" s="4"/>
    </row>
    <row r="56">
      <c r="H56" s="4"/>
    </row>
    <row r="57">
      <c r="H57" s="4"/>
    </row>
    <row r="58">
      <c r="H58" s="4"/>
    </row>
    <row r="59">
      <c r="H59" s="4"/>
    </row>
    <row r="60">
      <c r="H60" s="4"/>
    </row>
    <row r="61">
      <c r="H61" s="4"/>
    </row>
    <row r="62">
      <c r="H62" s="4"/>
    </row>
    <row r="63">
      <c r="H63" s="4"/>
    </row>
    <row r="64">
      <c r="H64" s="4"/>
    </row>
    <row r="65">
      <c r="H65" s="4"/>
    </row>
    <row r="66">
      <c r="H66" s="4"/>
    </row>
    <row r="67">
      <c r="H67" s="4"/>
    </row>
    <row r="68">
      <c r="H68" s="4"/>
    </row>
    <row r="69">
      <c r="H69" s="4"/>
    </row>
    <row r="70">
      <c r="H70" s="4"/>
    </row>
    <row r="71">
      <c r="H71" s="4"/>
    </row>
    <row r="72">
      <c r="H72" s="4"/>
    </row>
    <row r="73">
      <c r="H73" s="4"/>
    </row>
    <row r="74">
      <c r="H74" s="4"/>
    </row>
    <row r="75">
      <c r="H75" s="4"/>
    </row>
    <row r="76">
      <c r="H76" s="4"/>
    </row>
    <row r="77">
      <c r="H77" s="4"/>
    </row>
    <row r="78">
      <c r="H78" s="4"/>
    </row>
    <row r="79">
      <c r="H79" s="4"/>
    </row>
    <row r="80">
      <c r="H80" s="4"/>
    </row>
    <row r="81">
      <c r="H81" s="4"/>
    </row>
    <row r="82">
      <c r="H82" s="4"/>
    </row>
    <row r="83">
      <c r="H83" s="4"/>
    </row>
    <row r="84">
      <c r="H84" s="4"/>
    </row>
    <row r="85">
      <c r="H85" s="4"/>
    </row>
    <row r="86">
      <c r="H86" s="4"/>
    </row>
    <row r="87">
      <c r="H87" s="4"/>
    </row>
    <row r="88">
      <c r="H88" s="4"/>
    </row>
    <row r="89">
      <c r="H89" s="4"/>
    </row>
    <row r="90">
      <c r="H90" s="4"/>
    </row>
    <row r="91">
      <c r="H91" s="4"/>
    </row>
    <row r="92">
      <c r="H92" s="4"/>
    </row>
    <row r="93">
      <c r="H93" s="4"/>
    </row>
    <row r="94">
      <c r="H94" s="4"/>
    </row>
    <row r="95">
      <c r="H95" s="4"/>
    </row>
    <row r="96">
      <c r="H96" s="4"/>
    </row>
    <row r="97">
      <c r="H97" s="4"/>
    </row>
    <row r="98">
      <c r="H98" s="4"/>
    </row>
    <row r="99">
      <c r="H99" s="4"/>
    </row>
    <row r="100">
      <c r="H100" s="4"/>
    </row>
    <row r="101">
      <c r="H101" s="4"/>
    </row>
    <row r="102">
      <c r="H102" s="4"/>
    </row>
    <row r="103">
      <c r="H103" s="4"/>
    </row>
    <row r="104">
      <c r="H104" s="4"/>
    </row>
    <row r="105">
      <c r="H105" s="4"/>
    </row>
    <row r="106">
      <c r="H106" s="4"/>
    </row>
    <row r="107">
      <c r="H107" s="4"/>
    </row>
    <row r="108">
      <c r="H108" s="4"/>
    </row>
    <row r="109">
      <c r="H109" s="4"/>
    </row>
    <row r="110">
      <c r="H110" s="4"/>
    </row>
    <row r="111">
      <c r="H111" s="4"/>
    </row>
    <row r="112">
      <c r="H112" s="4"/>
    </row>
    <row r="113">
      <c r="H113" s="4"/>
    </row>
    <row r="114">
      <c r="H114" s="4"/>
    </row>
    <row r="115">
      <c r="H115" s="4"/>
    </row>
    <row r="116">
      <c r="H116" s="4"/>
    </row>
    <row r="117">
      <c r="H117" s="4"/>
    </row>
    <row r="118">
      <c r="H118" s="4"/>
    </row>
    <row r="119">
      <c r="H119" s="4"/>
    </row>
    <row r="120">
      <c r="H120" s="4"/>
    </row>
    <row r="121">
      <c r="H121" s="4"/>
    </row>
    <row r="122">
      <c r="H122" s="4"/>
    </row>
    <row r="123">
      <c r="H123" s="4"/>
    </row>
    <row r="124">
      <c r="H124" s="4"/>
    </row>
    <row r="125">
      <c r="H125" s="4"/>
    </row>
    <row r="126">
      <c r="H126" s="4"/>
    </row>
    <row r="127">
      <c r="H127" s="4"/>
    </row>
    <row r="128">
      <c r="H128" s="4"/>
    </row>
    <row r="129">
      <c r="H129" s="4"/>
    </row>
    <row r="130">
      <c r="H130" s="4"/>
    </row>
    <row r="131">
      <c r="H131" s="4"/>
    </row>
    <row r="132">
      <c r="H132" s="4"/>
    </row>
    <row r="133">
      <c r="H133" s="4"/>
    </row>
    <row r="134">
      <c r="H134" s="4"/>
    </row>
    <row r="135">
      <c r="H135" s="4"/>
    </row>
    <row r="136">
      <c r="H136" s="4"/>
    </row>
    <row r="137">
      <c r="H137" s="4"/>
    </row>
    <row r="138">
      <c r="H138" s="4"/>
    </row>
    <row r="139">
      <c r="H139" s="4"/>
    </row>
    <row r="140">
      <c r="H140" s="4"/>
    </row>
    <row r="141">
      <c r="H141" s="4"/>
    </row>
    <row r="142">
      <c r="H142" s="4"/>
    </row>
    <row r="143">
      <c r="H143" s="4"/>
    </row>
    <row r="144">
      <c r="H144" s="4"/>
    </row>
    <row r="145">
      <c r="H145" s="4"/>
    </row>
    <row r="146">
      <c r="H146" s="4"/>
    </row>
    <row r="147">
      <c r="H147" s="4"/>
    </row>
    <row r="148">
      <c r="H148" s="4"/>
    </row>
    <row r="149">
      <c r="H149" s="4"/>
    </row>
    <row r="150">
      <c r="H150" s="4"/>
    </row>
    <row r="151">
      <c r="H151" s="4"/>
    </row>
    <row r="152">
      <c r="H152" s="4"/>
    </row>
    <row r="153">
      <c r="H153" s="4"/>
    </row>
    <row r="154">
      <c r="H154" s="4"/>
    </row>
    <row r="155">
      <c r="H155" s="4"/>
    </row>
    <row r="156">
      <c r="H156" s="4"/>
    </row>
    <row r="157">
      <c r="H157" s="4"/>
    </row>
    <row r="158">
      <c r="H158" s="4"/>
    </row>
    <row r="159">
      <c r="H159" s="4"/>
    </row>
    <row r="160">
      <c r="H160" s="4"/>
    </row>
    <row r="161">
      <c r="H161" s="4"/>
    </row>
    <row r="162">
      <c r="H162" s="4"/>
    </row>
    <row r="163">
      <c r="H163" s="4"/>
    </row>
    <row r="164">
      <c r="H164" s="4"/>
    </row>
    <row r="165">
      <c r="H165" s="4"/>
    </row>
    <row r="166">
      <c r="H166" s="4"/>
    </row>
    <row r="167">
      <c r="H167" s="4"/>
    </row>
    <row r="168">
      <c r="H168" s="4"/>
    </row>
    <row r="169">
      <c r="H169" s="4"/>
    </row>
    <row r="170">
      <c r="H170" s="4"/>
    </row>
    <row r="171">
      <c r="H171" s="4"/>
    </row>
    <row r="172">
      <c r="H172" s="4"/>
    </row>
    <row r="173">
      <c r="H173" s="4"/>
    </row>
    <row r="174">
      <c r="H174" s="4"/>
    </row>
    <row r="175">
      <c r="H175" s="4"/>
    </row>
    <row r="176">
      <c r="H176" s="4"/>
    </row>
    <row r="177">
      <c r="H177" s="4"/>
    </row>
    <row r="178">
      <c r="H178" s="4"/>
    </row>
    <row r="179">
      <c r="H179" s="4"/>
    </row>
    <row r="180">
      <c r="H180" s="4"/>
    </row>
    <row r="181">
      <c r="H181" s="4"/>
    </row>
    <row r="182">
      <c r="H182" s="4"/>
    </row>
    <row r="183">
      <c r="H183" s="4"/>
    </row>
    <row r="184">
      <c r="H184" s="4"/>
    </row>
    <row r="185">
      <c r="H185" s="4"/>
    </row>
    <row r="186">
      <c r="H186" s="4"/>
    </row>
    <row r="187">
      <c r="H187" s="4"/>
    </row>
    <row r="188">
      <c r="H188" s="4"/>
    </row>
    <row r="189">
      <c r="H189" s="4"/>
    </row>
    <row r="190">
      <c r="H190" s="4"/>
    </row>
    <row r="191">
      <c r="H191" s="4"/>
    </row>
    <row r="192">
      <c r="H192" s="4"/>
    </row>
    <row r="193">
      <c r="H193" s="4"/>
    </row>
    <row r="194">
      <c r="H194" s="4"/>
    </row>
    <row r="195">
      <c r="H195" s="4"/>
    </row>
    <row r="196">
      <c r="H196" s="4"/>
    </row>
    <row r="197">
      <c r="H197" s="4"/>
    </row>
    <row r="198">
      <c r="H198" s="4"/>
    </row>
    <row r="199">
      <c r="H199" s="4"/>
    </row>
    <row r="200">
      <c r="H200" s="4"/>
    </row>
    <row r="201">
      <c r="H201" s="4"/>
    </row>
    <row r="202">
      <c r="H202" s="4"/>
    </row>
    <row r="203">
      <c r="H203" s="4"/>
    </row>
    <row r="204">
      <c r="H204" s="4"/>
    </row>
    <row r="205">
      <c r="H205" s="4"/>
    </row>
    <row r="206">
      <c r="H206" s="4"/>
    </row>
    <row r="207">
      <c r="H207" s="4"/>
    </row>
    <row r="208">
      <c r="H208" s="4"/>
    </row>
    <row r="209">
      <c r="H209" s="4"/>
    </row>
    <row r="210">
      <c r="H210" s="4"/>
    </row>
    <row r="211">
      <c r="H211" s="4"/>
    </row>
    <row r="212">
      <c r="H212" s="4"/>
    </row>
    <row r="213">
      <c r="H213" s="4"/>
    </row>
    <row r="214">
      <c r="H214" s="4"/>
    </row>
    <row r="215">
      <c r="H215" s="4"/>
    </row>
    <row r="216">
      <c r="H216" s="4"/>
    </row>
    <row r="217">
      <c r="H217" s="4"/>
    </row>
    <row r="218">
      <c r="H218" s="4"/>
    </row>
    <row r="219">
      <c r="H219" s="4"/>
    </row>
    <row r="220">
      <c r="H220" s="4"/>
    </row>
    <row r="221">
      <c r="H221" s="4"/>
    </row>
    <row r="222">
      <c r="H222" s="4"/>
    </row>
    <row r="223">
      <c r="H223" s="4"/>
    </row>
    <row r="224">
      <c r="H224" s="4"/>
    </row>
    <row r="225">
      <c r="H225" s="4"/>
    </row>
    <row r="226">
      <c r="H226" s="4"/>
    </row>
    <row r="227">
      <c r="H227" s="4"/>
    </row>
    <row r="228">
      <c r="H228" s="4"/>
    </row>
    <row r="229">
      <c r="H229" s="4"/>
    </row>
    <row r="230">
      <c r="H230" s="4"/>
    </row>
    <row r="231">
      <c r="H231" s="4"/>
    </row>
    <row r="232">
      <c r="H232" s="4"/>
    </row>
    <row r="233">
      <c r="H233" s="4"/>
    </row>
    <row r="234">
      <c r="H234" s="4"/>
    </row>
    <row r="235">
      <c r="H235" s="4"/>
    </row>
    <row r="236">
      <c r="H236" s="4"/>
    </row>
    <row r="237">
      <c r="H237" s="4"/>
    </row>
    <row r="238">
      <c r="H238" s="4"/>
    </row>
    <row r="239">
      <c r="H239" s="4"/>
    </row>
    <row r="240">
      <c r="H240" s="4"/>
    </row>
    <row r="241">
      <c r="H241" s="4"/>
    </row>
    <row r="242">
      <c r="H242" s="4"/>
    </row>
    <row r="243">
      <c r="H243" s="4"/>
    </row>
    <row r="244">
      <c r="H244" s="4"/>
    </row>
    <row r="245">
      <c r="H245" s="4"/>
    </row>
    <row r="246">
      <c r="H246" s="4"/>
    </row>
    <row r="247">
      <c r="H247" s="4"/>
    </row>
    <row r="248">
      <c r="H248" s="4"/>
    </row>
    <row r="249">
      <c r="H249" s="4"/>
    </row>
    <row r="250">
      <c r="H250" s="4"/>
    </row>
    <row r="251">
      <c r="H251" s="4"/>
    </row>
    <row r="252">
      <c r="H252" s="4"/>
    </row>
    <row r="253">
      <c r="H253" s="4"/>
    </row>
    <row r="254">
      <c r="H254" s="4"/>
    </row>
    <row r="255">
      <c r="H255" s="4"/>
    </row>
    <row r="256">
      <c r="H256" s="4"/>
    </row>
    <row r="257">
      <c r="H257" s="4"/>
    </row>
    <row r="258">
      <c r="H258" s="4"/>
    </row>
    <row r="259">
      <c r="H259" s="4"/>
    </row>
    <row r="260">
      <c r="H260" s="4"/>
    </row>
    <row r="261">
      <c r="H261" s="4"/>
    </row>
    <row r="262">
      <c r="H262" s="4"/>
    </row>
    <row r="263">
      <c r="H263" s="4"/>
    </row>
    <row r="264">
      <c r="H264" s="4"/>
    </row>
    <row r="265">
      <c r="H265" s="4"/>
    </row>
    <row r="266">
      <c r="H266" s="4"/>
    </row>
    <row r="267">
      <c r="H267" s="4"/>
    </row>
    <row r="268">
      <c r="H268" s="4"/>
    </row>
    <row r="269">
      <c r="H269" s="4"/>
    </row>
    <row r="270">
      <c r="H270" s="4"/>
    </row>
    <row r="271">
      <c r="H271" s="4"/>
    </row>
    <row r="272">
      <c r="H272" s="4"/>
    </row>
    <row r="273">
      <c r="H273" s="4"/>
    </row>
    <row r="274">
      <c r="H274" s="4"/>
    </row>
    <row r="275">
      <c r="H275" s="4"/>
    </row>
    <row r="276">
      <c r="H276" s="4"/>
    </row>
    <row r="277">
      <c r="H277" s="4"/>
    </row>
    <row r="278">
      <c r="H278" s="4"/>
    </row>
    <row r="279">
      <c r="H279" s="4"/>
    </row>
    <row r="280">
      <c r="H280" s="4"/>
    </row>
    <row r="281">
      <c r="H281" s="4"/>
    </row>
    <row r="282">
      <c r="H282" s="4"/>
    </row>
    <row r="283">
      <c r="H283" s="4"/>
    </row>
    <row r="284">
      <c r="H284" s="4"/>
    </row>
    <row r="285">
      <c r="H285" s="4"/>
    </row>
    <row r="286">
      <c r="H286" s="4"/>
    </row>
    <row r="287">
      <c r="H287" s="4"/>
    </row>
    <row r="288">
      <c r="H288" s="4"/>
    </row>
    <row r="289">
      <c r="H289" s="4"/>
    </row>
    <row r="290">
      <c r="H290" s="4"/>
    </row>
    <row r="291">
      <c r="H291" s="4"/>
    </row>
    <row r="292">
      <c r="H292" s="4"/>
    </row>
    <row r="293">
      <c r="H293" s="4"/>
    </row>
    <row r="294">
      <c r="H294" s="4"/>
    </row>
    <row r="295">
      <c r="H295" s="4"/>
    </row>
    <row r="296">
      <c r="H296" s="4"/>
    </row>
    <row r="297">
      <c r="H297" s="4"/>
    </row>
    <row r="298">
      <c r="H298" s="4"/>
    </row>
    <row r="299">
      <c r="H299" s="4"/>
    </row>
    <row r="300">
      <c r="H300" s="4"/>
    </row>
    <row r="301">
      <c r="H301" s="4"/>
    </row>
    <row r="302">
      <c r="H302" s="4"/>
    </row>
    <row r="303">
      <c r="H303" s="4"/>
    </row>
    <row r="304">
      <c r="H304" s="4"/>
    </row>
    <row r="305">
      <c r="H305" s="4"/>
    </row>
    <row r="306">
      <c r="H306" s="4"/>
    </row>
    <row r="307">
      <c r="H307" s="4"/>
    </row>
    <row r="308">
      <c r="H308" s="4"/>
    </row>
    <row r="309">
      <c r="H309" s="4"/>
    </row>
    <row r="310">
      <c r="H310" s="4"/>
    </row>
    <row r="311">
      <c r="H311" s="4"/>
    </row>
    <row r="312">
      <c r="H312" s="4"/>
    </row>
    <row r="313">
      <c r="H313" s="4"/>
    </row>
    <row r="314">
      <c r="H314" s="4"/>
    </row>
    <row r="315">
      <c r="H315" s="4"/>
    </row>
    <row r="316">
      <c r="H316" s="4"/>
    </row>
    <row r="317">
      <c r="H317" s="4"/>
    </row>
    <row r="318">
      <c r="H318" s="4"/>
    </row>
    <row r="319">
      <c r="H319" s="4"/>
    </row>
    <row r="320">
      <c r="H320" s="4"/>
    </row>
    <row r="321">
      <c r="H321" s="4"/>
    </row>
    <row r="322">
      <c r="H322" s="4"/>
    </row>
    <row r="323">
      <c r="H323" s="4"/>
    </row>
    <row r="324">
      <c r="H324" s="4"/>
    </row>
    <row r="325">
      <c r="H325" s="4"/>
    </row>
    <row r="326">
      <c r="H326" s="4"/>
    </row>
    <row r="327">
      <c r="H327" s="4"/>
    </row>
    <row r="328">
      <c r="H328" s="4"/>
    </row>
    <row r="329">
      <c r="H329" s="4"/>
    </row>
    <row r="330">
      <c r="H330" s="4"/>
    </row>
    <row r="331">
      <c r="H331" s="4"/>
    </row>
    <row r="332">
      <c r="H332" s="4"/>
    </row>
    <row r="333">
      <c r="H333" s="4"/>
    </row>
    <row r="334">
      <c r="H334" s="4"/>
    </row>
    <row r="335">
      <c r="H335" s="4"/>
    </row>
    <row r="336">
      <c r="H336" s="4"/>
    </row>
    <row r="337">
      <c r="H337" s="4"/>
    </row>
    <row r="338">
      <c r="H338" s="4"/>
    </row>
    <row r="339">
      <c r="H339" s="4"/>
    </row>
    <row r="340">
      <c r="H340" s="4"/>
    </row>
    <row r="341">
      <c r="H341" s="4"/>
    </row>
    <row r="342">
      <c r="H342" s="4"/>
    </row>
    <row r="343">
      <c r="H343" s="4"/>
    </row>
    <row r="344">
      <c r="H344" s="4"/>
    </row>
    <row r="345">
      <c r="H345" s="4"/>
    </row>
    <row r="346">
      <c r="H346" s="4"/>
    </row>
    <row r="347">
      <c r="H347" s="4"/>
    </row>
    <row r="348">
      <c r="H348" s="4"/>
    </row>
    <row r="349">
      <c r="H349" s="4"/>
    </row>
    <row r="350">
      <c r="H350" s="4"/>
    </row>
    <row r="351">
      <c r="H351" s="4"/>
    </row>
    <row r="352">
      <c r="H352" s="4"/>
    </row>
    <row r="353">
      <c r="H353" s="4"/>
    </row>
    <row r="354">
      <c r="H354" s="4"/>
    </row>
    <row r="355">
      <c r="H355" s="4"/>
    </row>
    <row r="356">
      <c r="H356" s="4"/>
    </row>
    <row r="357">
      <c r="H357" s="4"/>
    </row>
    <row r="358">
      <c r="H358" s="4"/>
    </row>
    <row r="359">
      <c r="H359" s="4"/>
    </row>
    <row r="360">
      <c r="H360" s="4"/>
    </row>
    <row r="361">
      <c r="H361" s="4"/>
    </row>
    <row r="362">
      <c r="H362" s="4"/>
    </row>
    <row r="363">
      <c r="H363" s="4"/>
    </row>
    <row r="364">
      <c r="H364" s="4"/>
    </row>
    <row r="365">
      <c r="H365" s="4"/>
    </row>
    <row r="366">
      <c r="H366" s="4"/>
    </row>
    <row r="367">
      <c r="H367" s="4"/>
    </row>
    <row r="368">
      <c r="H368" s="4"/>
    </row>
    <row r="369">
      <c r="H369" s="4"/>
    </row>
    <row r="370">
      <c r="H370" s="4"/>
    </row>
    <row r="371">
      <c r="H371" s="4"/>
    </row>
    <row r="372">
      <c r="H372" s="4"/>
    </row>
    <row r="373">
      <c r="H373" s="4"/>
    </row>
    <row r="374">
      <c r="H374" s="4"/>
    </row>
    <row r="375">
      <c r="H375" s="4"/>
    </row>
    <row r="376">
      <c r="H376" s="4"/>
    </row>
    <row r="377">
      <c r="H377" s="4"/>
    </row>
    <row r="378">
      <c r="H378" s="4"/>
    </row>
    <row r="379">
      <c r="H379" s="4"/>
    </row>
    <row r="380">
      <c r="H380" s="4"/>
    </row>
    <row r="381">
      <c r="H381" s="4"/>
    </row>
    <row r="382">
      <c r="H382" s="4"/>
    </row>
    <row r="383">
      <c r="H383" s="4"/>
    </row>
    <row r="384">
      <c r="H384" s="4"/>
    </row>
    <row r="385">
      <c r="H385" s="4"/>
    </row>
    <row r="386">
      <c r="H386" s="4"/>
    </row>
    <row r="387">
      <c r="H387" s="4"/>
    </row>
    <row r="388">
      <c r="H388" s="4"/>
    </row>
    <row r="389">
      <c r="H389" s="4"/>
    </row>
    <row r="390">
      <c r="H390" s="4"/>
    </row>
    <row r="391">
      <c r="H391" s="4"/>
    </row>
    <row r="392">
      <c r="H392" s="4"/>
    </row>
    <row r="393">
      <c r="H393" s="4"/>
    </row>
    <row r="394">
      <c r="H394" s="4"/>
    </row>
    <row r="395">
      <c r="H395" s="4"/>
    </row>
    <row r="396">
      <c r="H396" s="4"/>
    </row>
    <row r="397">
      <c r="H397" s="4"/>
    </row>
    <row r="398">
      <c r="H398" s="4"/>
    </row>
    <row r="399">
      <c r="H399" s="4"/>
    </row>
    <row r="400">
      <c r="H400" s="4"/>
    </row>
    <row r="401">
      <c r="H401" s="4"/>
    </row>
    <row r="402">
      <c r="H402" s="4"/>
    </row>
    <row r="403">
      <c r="H403" s="4"/>
    </row>
    <row r="404">
      <c r="H404" s="4"/>
    </row>
    <row r="405">
      <c r="H405" s="4"/>
    </row>
    <row r="406">
      <c r="H406" s="4"/>
    </row>
    <row r="407">
      <c r="H407" s="4"/>
    </row>
    <row r="408">
      <c r="H408" s="4"/>
    </row>
    <row r="409">
      <c r="H409" s="4"/>
    </row>
    <row r="410">
      <c r="H410" s="4"/>
    </row>
    <row r="411">
      <c r="H411" s="4"/>
    </row>
    <row r="412">
      <c r="H412" s="4"/>
    </row>
    <row r="413">
      <c r="H413" s="4"/>
    </row>
    <row r="414">
      <c r="H414" s="4"/>
    </row>
    <row r="415">
      <c r="H415" s="4"/>
    </row>
    <row r="416">
      <c r="H416" s="4"/>
    </row>
    <row r="417">
      <c r="H417" s="4"/>
    </row>
    <row r="418">
      <c r="H418" s="4"/>
    </row>
    <row r="419">
      <c r="H419" s="4"/>
    </row>
    <row r="420">
      <c r="H420" s="4"/>
    </row>
    <row r="421">
      <c r="H421" s="4"/>
    </row>
    <row r="422">
      <c r="H422" s="4"/>
    </row>
    <row r="423">
      <c r="H423" s="4"/>
    </row>
    <row r="424">
      <c r="H424" s="4"/>
    </row>
    <row r="425">
      <c r="H425" s="4"/>
    </row>
    <row r="426">
      <c r="H426" s="4"/>
    </row>
    <row r="427">
      <c r="H427" s="4"/>
    </row>
    <row r="428">
      <c r="H428" s="4"/>
    </row>
    <row r="429">
      <c r="H429" s="4"/>
    </row>
    <row r="430">
      <c r="H430" s="4"/>
    </row>
    <row r="431">
      <c r="H431" s="4"/>
    </row>
    <row r="432">
      <c r="H432" s="4"/>
    </row>
    <row r="433">
      <c r="H433" s="4"/>
    </row>
    <row r="434">
      <c r="H434" s="4"/>
    </row>
    <row r="435">
      <c r="H435" s="4"/>
    </row>
    <row r="436">
      <c r="H436" s="4"/>
    </row>
    <row r="437">
      <c r="H437" s="4"/>
    </row>
    <row r="438">
      <c r="H438" s="4"/>
    </row>
    <row r="439">
      <c r="H439" s="4"/>
    </row>
    <row r="440">
      <c r="H440" s="4"/>
    </row>
    <row r="441">
      <c r="H441" s="4"/>
    </row>
    <row r="442">
      <c r="H442" s="4"/>
    </row>
    <row r="443">
      <c r="H443" s="4"/>
    </row>
    <row r="444">
      <c r="H444" s="4"/>
    </row>
    <row r="445">
      <c r="H445" s="4"/>
    </row>
    <row r="446">
      <c r="H446" s="4"/>
    </row>
    <row r="447">
      <c r="H447" s="4"/>
    </row>
    <row r="448">
      <c r="H448" s="4"/>
    </row>
    <row r="449">
      <c r="H449" s="4"/>
    </row>
    <row r="450">
      <c r="H450" s="4"/>
    </row>
    <row r="451">
      <c r="H451" s="4"/>
    </row>
    <row r="452">
      <c r="H452" s="4"/>
    </row>
    <row r="453">
      <c r="H453" s="4"/>
    </row>
    <row r="454">
      <c r="H454" s="4"/>
    </row>
    <row r="455">
      <c r="H455" s="4"/>
    </row>
    <row r="456">
      <c r="H456" s="4"/>
    </row>
    <row r="457">
      <c r="H457" s="4"/>
    </row>
    <row r="458">
      <c r="H458" s="4"/>
    </row>
    <row r="459">
      <c r="H459" s="4"/>
    </row>
    <row r="460">
      <c r="H460" s="4"/>
    </row>
    <row r="461">
      <c r="H461" s="4"/>
    </row>
    <row r="462">
      <c r="H462" s="4"/>
    </row>
    <row r="463">
      <c r="H463" s="4"/>
    </row>
    <row r="464">
      <c r="H464" s="4"/>
    </row>
    <row r="465">
      <c r="H465" s="4"/>
    </row>
    <row r="466">
      <c r="H466" s="4"/>
    </row>
    <row r="467">
      <c r="H467" s="4"/>
    </row>
    <row r="468">
      <c r="H468" s="4"/>
    </row>
    <row r="469">
      <c r="H469" s="4"/>
    </row>
    <row r="470">
      <c r="H470" s="4"/>
    </row>
    <row r="471">
      <c r="H471" s="4"/>
    </row>
    <row r="472">
      <c r="H472" s="4"/>
    </row>
    <row r="473">
      <c r="H473" s="4"/>
    </row>
    <row r="474">
      <c r="H474" s="4"/>
    </row>
    <row r="475">
      <c r="H475" s="4"/>
    </row>
    <row r="476">
      <c r="H476" s="4"/>
    </row>
    <row r="477">
      <c r="H477" s="4"/>
    </row>
    <row r="478">
      <c r="H478" s="4"/>
    </row>
    <row r="479">
      <c r="H479" s="4"/>
    </row>
    <row r="480">
      <c r="H480" s="4"/>
    </row>
    <row r="481">
      <c r="H481" s="4"/>
    </row>
    <row r="482">
      <c r="H482" s="4"/>
    </row>
    <row r="483">
      <c r="H483" s="4"/>
    </row>
    <row r="484">
      <c r="H484" s="4"/>
    </row>
    <row r="485">
      <c r="H485" s="4"/>
    </row>
    <row r="486">
      <c r="H486" s="4"/>
    </row>
    <row r="487">
      <c r="H487" s="4"/>
    </row>
    <row r="488">
      <c r="H488" s="4"/>
    </row>
    <row r="489">
      <c r="H489" s="4"/>
    </row>
    <row r="490">
      <c r="H490" s="4"/>
    </row>
    <row r="491">
      <c r="H491" s="4"/>
    </row>
    <row r="492">
      <c r="H492" s="4"/>
    </row>
    <row r="493">
      <c r="H493" s="4"/>
    </row>
    <row r="494">
      <c r="H494" s="4"/>
    </row>
    <row r="495">
      <c r="H495" s="4"/>
    </row>
    <row r="496">
      <c r="H496" s="4"/>
    </row>
    <row r="497">
      <c r="H497" s="4"/>
    </row>
    <row r="498">
      <c r="H498" s="4"/>
    </row>
    <row r="499">
      <c r="H499" s="4"/>
    </row>
    <row r="500">
      <c r="H500" s="4"/>
    </row>
    <row r="501">
      <c r="H501" s="4"/>
    </row>
    <row r="502">
      <c r="H502" s="4"/>
    </row>
    <row r="503">
      <c r="H503" s="4"/>
    </row>
    <row r="504">
      <c r="H504" s="4"/>
    </row>
    <row r="505">
      <c r="H505" s="4"/>
    </row>
    <row r="506">
      <c r="H506" s="4"/>
    </row>
    <row r="507">
      <c r="H507" s="4"/>
    </row>
    <row r="508">
      <c r="H508" s="4"/>
    </row>
    <row r="509">
      <c r="H509" s="4"/>
    </row>
    <row r="510">
      <c r="H510" s="4"/>
    </row>
    <row r="511">
      <c r="H511" s="4"/>
    </row>
    <row r="512">
      <c r="H512" s="4"/>
    </row>
    <row r="513">
      <c r="H513" s="4"/>
    </row>
    <row r="514">
      <c r="H514" s="4"/>
    </row>
    <row r="515">
      <c r="H515" s="4"/>
    </row>
    <row r="516">
      <c r="H516" s="4"/>
    </row>
    <row r="517">
      <c r="H517" s="4"/>
    </row>
    <row r="518">
      <c r="H518" s="4"/>
    </row>
    <row r="519">
      <c r="H519" s="4"/>
    </row>
    <row r="520">
      <c r="H520" s="4"/>
    </row>
    <row r="521">
      <c r="H521" s="4"/>
    </row>
    <row r="522">
      <c r="H522" s="4"/>
    </row>
    <row r="523">
      <c r="H523" s="4"/>
    </row>
    <row r="524">
      <c r="H524" s="4"/>
    </row>
    <row r="525">
      <c r="H525" s="4"/>
    </row>
    <row r="526">
      <c r="H526" s="4"/>
    </row>
    <row r="527">
      <c r="H527" s="4"/>
    </row>
    <row r="528">
      <c r="H528" s="4"/>
    </row>
    <row r="529">
      <c r="H529" s="4"/>
    </row>
    <row r="530">
      <c r="H530" s="4"/>
    </row>
    <row r="531">
      <c r="H531" s="4"/>
    </row>
    <row r="532">
      <c r="H532" s="4"/>
    </row>
    <row r="533">
      <c r="H533" s="4"/>
    </row>
    <row r="534">
      <c r="H534" s="4"/>
    </row>
    <row r="535">
      <c r="H535" s="4"/>
    </row>
    <row r="536">
      <c r="H536" s="4"/>
    </row>
    <row r="537">
      <c r="H537" s="4"/>
    </row>
    <row r="538">
      <c r="H538" s="4"/>
    </row>
    <row r="539">
      <c r="H539" s="4"/>
    </row>
    <row r="540">
      <c r="H540" s="4"/>
    </row>
    <row r="541">
      <c r="H541" s="4"/>
    </row>
    <row r="542">
      <c r="H542" s="4"/>
    </row>
    <row r="543">
      <c r="H543" s="4"/>
    </row>
    <row r="544">
      <c r="H544" s="4"/>
    </row>
    <row r="545">
      <c r="H545" s="4"/>
    </row>
    <row r="546">
      <c r="H546" s="4"/>
    </row>
    <row r="547">
      <c r="H547" s="4"/>
    </row>
    <row r="548">
      <c r="H548" s="4"/>
    </row>
    <row r="549">
      <c r="H549" s="4"/>
    </row>
    <row r="550">
      <c r="H550" s="4"/>
    </row>
    <row r="551">
      <c r="H551" s="4"/>
    </row>
    <row r="552">
      <c r="H552" s="4"/>
    </row>
    <row r="553">
      <c r="H553" s="4"/>
    </row>
    <row r="554">
      <c r="H554" s="4"/>
    </row>
    <row r="555">
      <c r="H555" s="4"/>
    </row>
    <row r="556">
      <c r="H556" s="4"/>
    </row>
    <row r="557">
      <c r="H557" s="4"/>
    </row>
    <row r="558">
      <c r="H558" s="4"/>
    </row>
    <row r="559">
      <c r="H559" s="4"/>
    </row>
    <row r="560">
      <c r="H560" s="4"/>
    </row>
    <row r="561">
      <c r="H561" s="4"/>
    </row>
    <row r="562">
      <c r="H562" s="4"/>
    </row>
    <row r="563">
      <c r="H563" s="4"/>
    </row>
    <row r="564">
      <c r="H564" s="4"/>
    </row>
    <row r="565">
      <c r="H565" s="4"/>
    </row>
    <row r="566">
      <c r="H566" s="4"/>
    </row>
    <row r="567">
      <c r="H567" s="4"/>
    </row>
    <row r="568">
      <c r="H568" s="4"/>
    </row>
    <row r="569">
      <c r="H569" s="4"/>
    </row>
    <row r="570">
      <c r="H570" s="4"/>
    </row>
    <row r="571">
      <c r="H571" s="4"/>
    </row>
    <row r="572">
      <c r="H572" s="4"/>
    </row>
    <row r="573">
      <c r="H573" s="4"/>
    </row>
    <row r="574">
      <c r="H574" s="4"/>
    </row>
    <row r="575">
      <c r="H575" s="4"/>
    </row>
    <row r="576">
      <c r="H576" s="4"/>
    </row>
    <row r="577">
      <c r="H577" s="4"/>
    </row>
    <row r="578">
      <c r="H578" s="4"/>
    </row>
    <row r="579">
      <c r="H579" s="4"/>
    </row>
    <row r="580">
      <c r="H580" s="4"/>
    </row>
    <row r="581">
      <c r="H581" s="4"/>
    </row>
    <row r="582">
      <c r="H582" s="4"/>
    </row>
    <row r="583">
      <c r="H583" s="4"/>
    </row>
    <row r="584">
      <c r="H584" s="4"/>
    </row>
    <row r="585">
      <c r="H585" s="4"/>
    </row>
    <row r="586">
      <c r="H586" s="4"/>
    </row>
    <row r="587">
      <c r="H587" s="4"/>
    </row>
    <row r="588">
      <c r="H588" s="4"/>
    </row>
    <row r="589">
      <c r="H589" s="4"/>
    </row>
    <row r="590">
      <c r="H590" s="4"/>
    </row>
    <row r="591">
      <c r="H591" s="4"/>
    </row>
    <row r="592">
      <c r="H592" s="4"/>
    </row>
    <row r="593">
      <c r="H593" s="4"/>
    </row>
    <row r="594">
      <c r="H594" s="4"/>
    </row>
    <row r="595">
      <c r="H595" s="4"/>
    </row>
    <row r="596">
      <c r="H596" s="4"/>
    </row>
    <row r="597">
      <c r="H597" s="4"/>
    </row>
    <row r="598">
      <c r="H598" s="4"/>
    </row>
    <row r="599">
      <c r="H599" s="4"/>
    </row>
    <row r="600">
      <c r="H600" s="4"/>
    </row>
    <row r="601">
      <c r="H601" s="4"/>
    </row>
    <row r="602">
      <c r="H602" s="4"/>
    </row>
    <row r="603">
      <c r="H603" s="4"/>
    </row>
    <row r="604">
      <c r="H604" s="4"/>
    </row>
    <row r="605">
      <c r="H605" s="4"/>
    </row>
    <row r="606">
      <c r="H606" s="4"/>
    </row>
    <row r="607">
      <c r="H607" s="4"/>
    </row>
    <row r="608">
      <c r="H608" s="4"/>
    </row>
    <row r="609">
      <c r="H609" s="4"/>
    </row>
    <row r="610">
      <c r="H610" s="4"/>
    </row>
    <row r="611">
      <c r="H611" s="4"/>
    </row>
    <row r="612">
      <c r="H612" s="4"/>
    </row>
    <row r="613">
      <c r="H613" s="4"/>
    </row>
    <row r="614">
      <c r="H614" s="4"/>
    </row>
    <row r="615">
      <c r="H615" s="4"/>
    </row>
    <row r="616">
      <c r="H616" s="4"/>
    </row>
    <row r="617">
      <c r="H617" s="4"/>
    </row>
    <row r="618">
      <c r="H618" s="4"/>
    </row>
    <row r="619">
      <c r="H619" s="4"/>
    </row>
    <row r="620">
      <c r="H620" s="4"/>
    </row>
    <row r="621">
      <c r="H621" s="4"/>
    </row>
    <row r="622">
      <c r="H622" s="4"/>
    </row>
    <row r="623">
      <c r="H623" s="4"/>
    </row>
    <row r="624">
      <c r="H624" s="4"/>
    </row>
    <row r="625">
      <c r="H625" s="4"/>
    </row>
    <row r="626">
      <c r="H626" s="4"/>
    </row>
    <row r="627">
      <c r="H627" s="4"/>
    </row>
    <row r="628">
      <c r="H628" s="4"/>
    </row>
    <row r="629">
      <c r="H629" s="4"/>
    </row>
    <row r="630">
      <c r="H630" s="4"/>
    </row>
    <row r="631">
      <c r="H631" s="4"/>
    </row>
    <row r="632">
      <c r="H632" s="4"/>
    </row>
    <row r="633">
      <c r="H633" s="4"/>
    </row>
    <row r="634">
      <c r="H634" s="4"/>
    </row>
    <row r="635">
      <c r="H635" s="4"/>
    </row>
    <row r="636">
      <c r="H636" s="4"/>
    </row>
    <row r="637">
      <c r="H637" s="4"/>
    </row>
    <row r="638">
      <c r="H638" s="4"/>
    </row>
    <row r="639">
      <c r="H639" s="4"/>
    </row>
    <row r="640">
      <c r="H640" s="4"/>
    </row>
    <row r="641">
      <c r="H641" s="4"/>
    </row>
    <row r="642">
      <c r="H642" s="4"/>
    </row>
    <row r="643">
      <c r="H643" s="4"/>
    </row>
    <row r="644">
      <c r="H644" s="4"/>
    </row>
    <row r="645">
      <c r="H645" s="4"/>
    </row>
    <row r="646">
      <c r="H646" s="4"/>
    </row>
    <row r="647">
      <c r="H647" s="4"/>
    </row>
    <row r="648">
      <c r="H648" s="4"/>
    </row>
    <row r="649">
      <c r="H649" s="4"/>
    </row>
    <row r="650">
      <c r="H650" s="4"/>
    </row>
    <row r="651">
      <c r="H651" s="4"/>
    </row>
    <row r="652">
      <c r="H652" s="4"/>
    </row>
    <row r="653">
      <c r="H653" s="4"/>
    </row>
    <row r="654">
      <c r="H654" s="4"/>
    </row>
    <row r="655">
      <c r="H655" s="4"/>
    </row>
    <row r="656">
      <c r="H656" s="4"/>
    </row>
    <row r="657">
      <c r="H657" s="4"/>
    </row>
    <row r="658">
      <c r="H658" s="4"/>
    </row>
    <row r="659">
      <c r="H659" s="4"/>
    </row>
    <row r="660">
      <c r="H660" s="4"/>
    </row>
    <row r="661">
      <c r="H661" s="4"/>
    </row>
    <row r="662">
      <c r="H662" s="4"/>
    </row>
    <row r="663">
      <c r="H663" s="4"/>
    </row>
    <row r="664">
      <c r="H664" s="4"/>
    </row>
    <row r="665">
      <c r="H665" s="4"/>
    </row>
    <row r="666">
      <c r="H666" s="4"/>
    </row>
    <row r="667">
      <c r="H667" s="4"/>
    </row>
    <row r="668">
      <c r="H668" s="4"/>
    </row>
    <row r="669">
      <c r="H669" s="4"/>
    </row>
    <row r="670">
      <c r="H670" s="4"/>
    </row>
    <row r="671">
      <c r="H671" s="4"/>
    </row>
    <row r="672">
      <c r="H672" s="4"/>
    </row>
    <row r="673">
      <c r="H673" s="4"/>
    </row>
    <row r="674">
      <c r="H674" s="4"/>
    </row>
    <row r="675">
      <c r="H675" s="4"/>
    </row>
    <row r="676">
      <c r="H676" s="4"/>
    </row>
    <row r="677">
      <c r="H677" s="4"/>
    </row>
    <row r="678">
      <c r="H678" s="4"/>
    </row>
    <row r="679">
      <c r="H679" s="4"/>
    </row>
    <row r="680">
      <c r="H680" s="4"/>
    </row>
    <row r="681">
      <c r="H681" s="4"/>
    </row>
    <row r="682">
      <c r="H682" s="4"/>
    </row>
    <row r="683">
      <c r="H683" s="4"/>
    </row>
    <row r="684">
      <c r="H684" s="4"/>
    </row>
    <row r="685">
      <c r="H685" s="4"/>
    </row>
    <row r="686">
      <c r="H686" s="4"/>
    </row>
    <row r="687">
      <c r="H687" s="4"/>
    </row>
    <row r="688">
      <c r="H688" s="4"/>
    </row>
    <row r="689">
      <c r="H689" s="4"/>
    </row>
    <row r="690">
      <c r="H690" s="4"/>
    </row>
    <row r="691">
      <c r="H691" s="4"/>
    </row>
    <row r="692">
      <c r="H692" s="4"/>
    </row>
    <row r="693">
      <c r="H693" s="4"/>
    </row>
    <row r="694">
      <c r="H694" s="4"/>
    </row>
    <row r="695">
      <c r="H695" s="4"/>
    </row>
    <row r="696">
      <c r="H696" s="4"/>
    </row>
    <row r="697">
      <c r="H697" s="4"/>
    </row>
    <row r="698">
      <c r="H698" s="4"/>
    </row>
    <row r="699">
      <c r="H699" s="4"/>
    </row>
    <row r="700">
      <c r="H700" s="4"/>
    </row>
    <row r="701">
      <c r="H701" s="4"/>
    </row>
    <row r="702">
      <c r="H702" s="4"/>
    </row>
    <row r="703">
      <c r="H703" s="4"/>
    </row>
    <row r="704">
      <c r="H704" s="4"/>
    </row>
    <row r="705">
      <c r="H705" s="4"/>
    </row>
    <row r="706">
      <c r="H706" s="4"/>
    </row>
    <row r="707">
      <c r="H707" s="4"/>
    </row>
    <row r="708">
      <c r="H708" s="4"/>
    </row>
    <row r="709">
      <c r="H709" s="4"/>
    </row>
    <row r="710">
      <c r="H710" s="4"/>
    </row>
    <row r="711">
      <c r="H711" s="4"/>
    </row>
    <row r="712">
      <c r="H712" s="4"/>
    </row>
    <row r="713">
      <c r="H713" s="4"/>
    </row>
    <row r="714">
      <c r="H714" s="4"/>
    </row>
    <row r="715">
      <c r="H715" s="4"/>
    </row>
    <row r="716">
      <c r="H716" s="4"/>
    </row>
    <row r="717">
      <c r="H717" s="4"/>
    </row>
    <row r="718">
      <c r="H718" s="4"/>
    </row>
    <row r="719">
      <c r="H719" s="4"/>
    </row>
    <row r="720">
      <c r="H720" s="4"/>
    </row>
    <row r="721">
      <c r="H721" s="4"/>
    </row>
    <row r="722">
      <c r="H722" s="4"/>
    </row>
    <row r="723">
      <c r="H723" s="4"/>
    </row>
    <row r="724">
      <c r="H724" s="4"/>
    </row>
    <row r="725">
      <c r="H725" s="4"/>
    </row>
    <row r="726">
      <c r="H726" s="4"/>
    </row>
    <row r="727">
      <c r="H727" s="4"/>
    </row>
    <row r="728">
      <c r="H728" s="4"/>
    </row>
    <row r="729">
      <c r="H729" s="4"/>
    </row>
    <row r="730">
      <c r="H730" s="4"/>
    </row>
    <row r="731">
      <c r="H731" s="4"/>
    </row>
    <row r="732">
      <c r="H732" s="4"/>
    </row>
    <row r="733">
      <c r="H733" s="4"/>
    </row>
    <row r="734">
      <c r="H734" s="4"/>
    </row>
    <row r="735">
      <c r="H735" s="4"/>
    </row>
    <row r="736">
      <c r="H736" s="4"/>
    </row>
    <row r="737">
      <c r="H737" s="4"/>
    </row>
    <row r="738">
      <c r="H738" s="4"/>
    </row>
    <row r="739">
      <c r="H739" s="4"/>
    </row>
    <row r="740">
      <c r="H740" s="4"/>
    </row>
    <row r="741">
      <c r="H741" s="4"/>
    </row>
    <row r="742">
      <c r="H742" s="4"/>
    </row>
    <row r="743">
      <c r="H743" s="4"/>
    </row>
    <row r="744">
      <c r="H744" s="4"/>
    </row>
    <row r="745">
      <c r="H745" s="4"/>
    </row>
    <row r="746">
      <c r="H746" s="4"/>
    </row>
    <row r="747">
      <c r="H747" s="4"/>
    </row>
    <row r="748">
      <c r="H748" s="4"/>
    </row>
    <row r="749">
      <c r="H749" s="4"/>
    </row>
    <row r="750">
      <c r="H750" s="4"/>
    </row>
    <row r="751">
      <c r="H751" s="4"/>
    </row>
    <row r="752">
      <c r="H752" s="4"/>
    </row>
    <row r="753">
      <c r="H753" s="4"/>
    </row>
    <row r="754">
      <c r="H754" s="4"/>
    </row>
    <row r="755">
      <c r="H755" s="4"/>
    </row>
    <row r="756">
      <c r="H756" s="4"/>
    </row>
    <row r="757">
      <c r="H757" s="4"/>
    </row>
    <row r="758">
      <c r="H758" s="4"/>
    </row>
    <row r="759">
      <c r="H759" s="4"/>
    </row>
    <row r="760">
      <c r="H760" s="4"/>
    </row>
    <row r="761">
      <c r="H761" s="4"/>
    </row>
    <row r="762">
      <c r="H762" s="4"/>
    </row>
    <row r="763">
      <c r="H763" s="4"/>
    </row>
    <row r="764">
      <c r="H764" s="4"/>
    </row>
    <row r="765">
      <c r="H765" s="4"/>
    </row>
    <row r="766">
      <c r="H766" s="4"/>
    </row>
    <row r="767">
      <c r="H767" s="4"/>
    </row>
    <row r="768">
      <c r="H768" s="4"/>
    </row>
    <row r="769">
      <c r="H769" s="4"/>
    </row>
    <row r="770">
      <c r="H770" s="4"/>
    </row>
    <row r="771">
      <c r="H771" s="4"/>
    </row>
    <row r="772">
      <c r="H772" s="4"/>
    </row>
    <row r="773">
      <c r="H773" s="4"/>
    </row>
    <row r="774">
      <c r="H774" s="4"/>
    </row>
    <row r="775">
      <c r="H775" s="4"/>
    </row>
    <row r="776">
      <c r="H776" s="4"/>
    </row>
    <row r="777">
      <c r="H777" s="4"/>
    </row>
    <row r="778">
      <c r="H778" s="4"/>
    </row>
    <row r="779">
      <c r="H779" s="4"/>
    </row>
    <row r="780">
      <c r="H780" s="4"/>
    </row>
    <row r="781">
      <c r="H781" s="4"/>
    </row>
    <row r="782">
      <c r="H782" s="4"/>
    </row>
    <row r="783">
      <c r="H783" s="4"/>
    </row>
    <row r="784">
      <c r="H784" s="4"/>
    </row>
    <row r="785">
      <c r="H785" s="4"/>
    </row>
    <row r="786">
      <c r="H786" s="4"/>
    </row>
    <row r="787">
      <c r="H787" s="4"/>
    </row>
    <row r="788">
      <c r="H788" s="4"/>
    </row>
    <row r="789">
      <c r="H789" s="4"/>
    </row>
    <row r="790">
      <c r="H790" s="4"/>
    </row>
    <row r="791">
      <c r="H791" s="4"/>
    </row>
    <row r="792">
      <c r="H792" s="4"/>
    </row>
    <row r="793">
      <c r="H793" s="4"/>
    </row>
    <row r="794">
      <c r="H794" s="4"/>
    </row>
    <row r="795">
      <c r="H795" s="4"/>
    </row>
    <row r="796">
      <c r="H796" s="4"/>
    </row>
    <row r="797">
      <c r="H797" s="4"/>
    </row>
    <row r="798">
      <c r="H798" s="4"/>
    </row>
    <row r="799">
      <c r="H799" s="4"/>
    </row>
    <row r="800">
      <c r="H800" s="4"/>
    </row>
    <row r="801">
      <c r="H801" s="4"/>
    </row>
    <row r="802">
      <c r="H802" s="4"/>
    </row>
    <row r="803">
      <c r="H803" s="4"/>
    </row>
    <row r="804">
      <c r="H804" s="4"/>
    </row>
    <row r="805">
      <c r="H805" s="4"/>
    </row>
    <row r="806">
      <c r="H806" s="4"/>
    </row>
    <row r="807">
      <c r="H807" s="4"/>
    </row>
    <row r="808">
      <c r="H808" s="4"/>
    </row>
    <row r="809">
      <c r="H809" s="4"/>
    </row>
    <row r="810">
      <c r="H810" s="4"/>
    </row>
    <row r="811">
      <c r="H811" s="4"/>
    </row>
    <row r="812">
      <c r="H812" s="4"/>
    </row>
    <row r="813">
      <c r="H813" s="4"/>
    </row>
    <row r="814">
      <c r="H814" s="4"/>
    </row>
    <row r="815">
      <c r="H815" s="4"/>
    </row>
    <row r="816">
      <c r="H816" s="4"/>
    </row>
    <row r="817">
      <c r="H817" s="4"/>
    </row>
    <row r="818">
      <c r="H818" s="4"/>
    </row>
    <row r="819">
      <c r="H819" s="4"/>
    </row>
    <row r="820">
      <c r="H820" s="4"/>
    </row>
    <row r="821">
      <c r="H821" s="4"/>
    </row>
    <row r="822">
      <c r="H822" s="4"/>
    </row>
    <row r="823">
      <c r="H823" s="4"/>
    </row>
    <row r="824">
      <c r="H824" s="4"/>
    </row>
    <row r="825">
      <c r="H825" s="4"/>
    </row>
    <row r="826">
      <c r="H826" s="4"/>
    </row>
    <row r="827">
      <c r="H827" s="4"/>
    </row>
    <row r="828">
      <c r="H828" s="4"/>
    </row>
    <row r="829">
      <c r="H829" s="4"/>
    </row>
    <row r="830">
      <c r="H830" s="4"/>
    </row>
    <row r="831">
      <c r="H831" s="4"/>
    </row>
    <row r="832">
      <c r="H832" s="4"/>
    </row>
    <row r="833">
      <c r="H833" s="4"/>
    </row>
    <row r="834">
      <c r="H834" s="4"/>
    </row>
    <row r="835">
      <c r="H835" s="4"/>
    </row>
    <row r="836">
      <c r="H836" s="4"/>
    </row>
    <row r="837">
      <c r="H837" s="4"/>
    </row>
    <row r="838">
      <c r="H838" s="4"/>
    </row>
    <row r="839">
      <c r="H839" s="4"/>
    </row>
    <row r="840">
      <c r="H840" s="4"/>
    </row>
    <row r="841">
      <c r="H841" s="4"/>
    </row>
    <row r="842">
      <c r="H842" s="4"/>
    </row>
    <row r="843">
      <c r="H843" s="4"/>
    </row>
    <row r="844">
      <c r="H844" s="4"/>
    </row>
    <row r="845">
      <c r="H845" s="4"/>
    </row>
    <row r="846">
      <c r="H846" s="4"/>
    </row>
    <row r="847">
      <c r="H847" s="4"/>
    </row>
    <row r="848">
      <c r="H848" s="4"/>
    </row>
    <row r="849">
      <c r="H849" s="4"/>
    </row>
    <row r="850">
      <c r="H850" s="4"/>
    </row>
    <row r="851">
      <c r="H851" s="4"/>
    </row>
    <row r="852">
      <c r="H852" s="4"/>
    </row>
    <row r="853">
      <c r="H853" s="4"/>
    </row>
    <row r="854">
      <c r="H854" s="4"/>
    </row>
    <row r="855">
      <c r="H855" s="4"/>
    </row>
    <row r="856">
      <c r="H856" s="4"/>
    </row>
    <row r="857">
      <c r="H857" s="4"/>
    </row>
    <row r="858">
      <c r="H858" s="4"/>
    </row>
    <row r="859">
      <c r="H859" s="4"/>
    </row>
    <row r="860">
      <c r="H860" s="4"/>
    </row>
    <row r="861">
      <c r="H861" s="4"/>
    </row>
    <row r="862">
      <c r="H862" s="4"/>
    </row>
    <row r="863">
      <c r="H863" s="4"/>
    </row>
    <row r="864">
      <c r="H864" s="4"/>
    </row>
    <row r="865">
      <c r="H865" s="4"/>
    </row>
    <row r="866">
      <c r="H866" s="4"/>
    </row>
    <row r="867">
      <c r="H867" s="4"/>
    </row>
    <row r="868">
      <c r="H868" s="4"/>
    </row>
    <row r="869">
      <c r="H869" s="4"/>
    </row>
    <row r="870">
      <c r="H870" s="4"/>
    </row>
    <row r="871">
      <c r="H871" s="4"/>
    </row>
    <row r="872">
      <c r="H872" s="4"/>
    </row>
    <row r="873">
      <c r="H873" s="4"/>
    </row>
    <row r="874">
      <c r="H874" s="4"/>
    </row>
    <row r="875">
      <c r="H875" s="4"/>
    </row>
    <row r="876">
      <c r="H876" s="4"/>
    </row>
    <row r="877">
      <c r="H877" s="4"/>
    </row>
    <row r="878">
      <c r="H878" s="4"/>
    </row>
    <row r="879">
      <c r="H879" s="4"/>
    </row>
    <row r="880">
      <c r="H880" s="4"/>
    </row>
    <row r="881">
      <c r="H881" s="4"/>
    </row>
    <row r="882">
      <c r="H882" s="4"/>
    </row>
    <row r="883">
      <c r="H883" s="4"/>
    </row>
    <row r="884">
      <c r="H884" s="4"/>
    </row>
    <row r="885">
      <c r="H885" s="4"/>
    </row>
    <row r="886">
      <c r="H886" s="4"/>
    </row>
    <row r="887">
      <c r="H887" s="4"/>
    </row>
    <row r="888">
      <c r="H888" s="4"/>
    </row>
    <row r="889">
      <c r="H889" s="4"/>
    </row>
    <row r="890">
      <c r="H890" s="4"/>
    </row>
    <row r="891">
      <c r="H891" s="4"/>
    </row>
    <row r="892">
      <c r="H892" s="4"/>
    </row>
    <row r="893">
      <c r="H893" s="4"/>
    </row>
    <row r="894">
      <c r="H894" s="4"/>
    </row>
    <row r="895">
      <c r="H895" s="4"/>
    </row>
    <row r="896">
      <c r="H896" s="4"/>
    </row>
    <row r="897">
      <c r="H897" s="4"/>
    </row>
    <row r="898">
      <c r="H898" s="4"/>
    </row>
    <row r="899">
      <c r="H899" s="4"/>
    </row>
    <row r="900">
      <c r="H900" s="4"/>
    </row>
    <row r="901">
      <c r="H901" s="4"/>
    </row>
    <row r="902">
      <c r="H902" s="4"/>
    </row>
    <row r="903">
      <c r="H903" s="4"/>
    </row>
    <row r="904">
      <c r="H904" s="4"/>
    </row>
    <row r="905">
      <c r="H905" s="4"/>
    </row>
    <row r="906">
      <c r="H906" s="4"/>
    </row>
    <row r="907">
      <c r="H907" s="4"/>
    </row>
    <row r="908">
      <c r="H908" s="4"/>
    </row>
    <row r="909">
      <c r="H909" s="4"/>
    </row>
    <row r="910">
      <c r="H910" s="4"/>
    </row>
    <row r="911">
      <c r="H911" s="4"/>
    </row>
    <row r="912">
      <c r="H912" s="4"/>
    </row>
    <row r="913">
      <c r="H913" s="4"/>
    </row>
    <row r="914">
      <c r="H914" s="4"/>
    </row>
    <row r="915">
      <c r="H915" s="4"/>
    </row>
    <row r="916">
      <c r="H916" s="4"/>
    </row>
    <row r="917">
      <c r="H917" s="4"/>
    </row>
    <row r="918">
      <c r="H918" s="4"/>
    </row>
    <row r="919">
      <c r="H919" s="4"/>
    </row>
    <row r="920">
      <c r="H920" s="4"/>
    </row>
    <row r="921">
      <c r="H921" s="4"/>
    </row>
    <row r="922">
      <c r="H922" s="4"/>
    </row>
    <row r="923">
      <c r="H923" s="4"/>
    </row>
    <row r="924">
      <c r="H924" s="4"/>
    </row>
    <row r="925">
      <c r="H925" s="4"/>
    </row>
    <row r="926">
      <c r="H926" s="4"/>
    </row>
    <row r="927">
      <c r="H927" s="4"/>
    </row>
    <row r="928">
      <c r="H928" s="4"/>
    </row>
    <row r="929">
      <c r="H929" s="4"/>
    </row>
    <row r="930">
      <c r="H930" s="4"/>
    </row>
    <row r="931">
      <c r="H931" s="4"/>
    </row>
    <row r="932">
      <c r="H932" s="4"/>
    </row>
    <row r="933">
      <c r="H933" s="4"/>
    </row>
    <row r="934">
      <c r="H934" s="4"/>
    </row>
    <row r="935">
      <c r="H935" s="4"/>
    </row>
    <row r="936">
      <c r="H936" s="4"/>
    </row>
    <row r="937">
      <c r="H937" s="4"/>
    </row>
    <row r="938">
      <c r="H938" s="4"/>
    </row>
    <row r="939">
      <c r="H939" s="4"/>
    </row>
    <row r="940">
      <c r="H940" s="4"/>
    </row>
    <row r="941">
      <c r="H941" s="4"/>
    </row>
    <row r="942">
      <c r="H942" s="4"/>
    </row>
    <row r="943">
      <c r="H943" s="4"/>
    </row>
    <row r="944">
      <c r="H944" s="4"/>
    </row>
    <row r="945">
      <c r="H945" s="4"/>
    </row>
    <row r="946">
      <c r="H946" s="4"/>
    </row>
    <row r="947">
      <c r="H947" s="4"/>
    </row>
    <row r="948">
      <c r="H948" s="4"/>
    </row>
    <row r="949">
      <c r="H949" s="4"/>
    </row>
    <row r="950">
      <c r="H950" s="4"/>
    </row>
    <row r="951">
      <c r="H951" s="4"/>
    </row>
    <row r="952">
      <c r="H952" s="4"/>
    </row>
    <row r="953">
      <c r="H953" s="4"/>
    </row>
    <row r="954">
      <c r="H954" s="4"/>
    </row>
    <row r="955">
      <c r="H955" s="4"/>
    </row>
    <row r="956">
      <c r="H956" s="4"/>
    </row>
    <row r="957">
      <c r="H957" s="4"/>
    </row>
    <row r="958">
      <c r="H958" s="4"/>
    </row>
    <row r="959">
      <c r="H959" s="4"/>
    </row>
    <row r="960">
      <c r="H960" s="4"/>
    </row>
    <row r="961">
      <c r="H961" s="4"/>
    </row>
    <row r="962">
      <c r="H962" s="4"/>
    </row>
    <row r="963">
      <c r="H963" s="4"/>
    </row>
    <row r="964">
      <c r="H964" s="4"/>
    </row>
    <row r="965">
      <c r="H965" s="4"/>
    </row>
    <row r="966">
      <c r="H966" s="4"/>
    </row>
    <row r="967">
      <c r="H967" s="4"/>
    </row>
    <row r="968">
      <c r="H968" s="4"/>
    </row>
    <row r="969">
      <c r="H969" s="4"/>
    </row>
    <row r="970">
      <c r="H970" s="4"/>
    </row>
    <row r="971">
      <c r="H971" s="4"/>
    </row>
    <row r="972">
      <c r="H972" s="4"/>
    </row>
    <row r="973">
      <c r="H973" s="4"/>
    </row>
    <row r="974">
      <c r="H974" s="4"/>
    </row>
    <row r="975">
      <c r="H975" s="4"/>
    </row>
    <row r="976">
      <c r="H976" s="4"/>
    </row>
    <row r="977">
      <c r="H977" s="4"/>
    </row>
    <row r="978">
      <c r="H978" s="4"/>
    </row>
    <row r="979">
      <c r="H979" s="4"/>
    </row>
    <row r="980">
      <c r="H980" s="4"/>
    </row>
    <row r="981">
      <c r="H981" s="4"/>
    </row>
    <row r="982">
      <c r="H982" s="4"/>
    </row>
    <row r="983">
      <c r="H983" s="4"/>
    </row>
    <row r="984">
      <c r="H984" s="4"/>
    </row>
    <row r="985">
      <c r="H985" s="4"/>
    </row>
    <row r="986">
      <c r="H986" s="4"/>
    </row>
    <row r="987">
      <c r="H987" s="4"/>
    </row>
    <row r="988">
      <c r="H988" s="4"/>
    </row>
    <row r="989">
      <c r="H989" s="4"/>
    </row>
    <row r="990">
      <c r="H990" s="4"/>
    </row>
    <row r="991">
      <c r="H991" s="4"/>
    </row>
    <row r="992">
      <c r="H992" s="4"/>
    </row>
    <row r="993">
      <c r="H993" s="4"/>
    </row>
    <row r="994">
      <c r="H994" s="4"/>
    </row>
    <row r="995">
      <c r="H995" s="4"/>
    </row>
    <row r="996">
      <c r="H996" s="4"/>
    </row>
    <row r="997">
      <c r="H997" s="4"/>
    </row>
    <row r="998">
      <c r="H998" s="4"/>
    </row>
    <row r="999">
      <c r="H999" s="4"/>
    </row>
    <row r="1000">
      <c r="H1000" s="4"/>
    </row>
  </sheetData>
  <drawing r:id="rId8"/>
</worksheet>
</file>